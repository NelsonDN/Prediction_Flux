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_atelier_Youtube\"/>
    </mc:Choice>
  </mc:AlternateContent>
  <xr:revisionPtr revIDLastSave="0" documentId="13_ncr:1_{D479B76A-4DBC-4D71-B907-4208FA387C2E}" xr6:coauthVersionLast="47" xr6:coauthVersionMax="47" xr10:uidLastSave="{00000000-0000-0000-0000-000000000000}"/>
  <bookViews>
    <workbookView xWindow="4230" yWindow="4230" windowWidth="10215" windowHeight="5430" xr2:uid="{73AF47B1-E58A-4EED-BB4B-D2BAEA0702E0}"/>
  </bookViews>
  <sheets>
    <sheet name="Feuil1" sheetId="1" r:id="rId1"/>
    <sheet name="Feuil3" sheetId="3" r:id="rId2"/>
  </sheets>
  <definedNames>
    <definedName name="_xlnm._FilterDatabase" localSheetId="1" hidden="1">Feuil3!$A$3:$B$32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3" i="3" l="1"/>
  <c r="AD33" i="3"/>
  <c r="AD32" i="3"/>
  <c r="AC33" i="3"/>
  <c r="AC32" i="3"/>
  <c r="AC31" i="3"/>
  <c r="AB33" i="3"/>
  <c r="AB32" i="3"/>
  <c r="AB31" i="3"/>
  <c r="AB30" i="3"/>
  <c r="AA33" i="3"/>
  <c r="AA32" i="3"/>
  <c r="AA31" i="3"/>
  <c r="AA30" i="3"/>
  <c r="AA29" i="3"/>
  <c r="Z33" i="3"/>
  <c r="Z32" i="3"/>
  <c r="Z31" i="3"/>
  <c r="Z30" i="3"/>
  <c r="Z29" i="3"/>
  <c r="Z28" i="3"/>
  <c r="Y33" i="3"/>
  <c r="Y32" i="3"/>
  <c r="Y31" i="3"/>
  <c r="Y30" i="3"/>
  <c r="Y29" i="3"/>
  <c r="Y28" i="3"/>
  <c r="Y27" i="3"/>
  <c r="X33" i="3"/>
  <c r="X32" i="3"/>
  <c r="X31" i="3"/>
  <c r="X30" i="3"/>
  <c r="X29" i="3"/>
  <c r="X28" i="3"/>
  <c r="X27" i="3"/>
  <c r="X26" i="3"/>
  <c r="W33" i="3"/>
  <c r="W32" i="3"/>
  <c r="W31" i="3"/>
  <c r="W30" i="3"/>
  <c r="W29" i="3"/>
  <c r="W28" i="3"/>
  <c r="W27" i="3"/>
  <c r="W26" i="3"/>
  <c r="W25" i="3"/>
  <c r="V33" i="3"/>
  <c r="V32" i="3"/>
  <c r="V31" i="3"/>
  <c r="V30" i="3"/>
  <c r="V29" i="3"/>
  <c r="V28" i="3"/>
  <c r="V27" i="3"/>
  <c r="V26" i="3"/>
  <c r="V25" i="3"/>
  <c r="V24" i="3"/>
  <c r="U33" i="3"/>
  <c r="U32" i="3"/>
  <c r="U31" i="3"/>
  <c r="U30" i="3"/>
  <c r="U29" i="3"/>
  <c r="U28" i="3"/>
  <c r="U27" i="3"/>
  <c r="U26" i="3"/>
  <c r="U25" i="3"/>
  <c r="U24" i="3"/>
  <c r="U23" i="3"/>
  <c r="T33" i="3"/>
  <c r="T32" i="3"/>
  <c r="T31" i="3"/>
  <c r="T30" i="3"/>
  <c r="T29" i="3"/>
  <c r="T28" i="3"/>
  <c r="T27" i="3"/>
  <c r="T26" i="3"/>
  <c r="T25" i="3"/>
  <c r="T24" i="3"/>
  <c r="T23" i="3"/>
  <c r="T22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L32" i="3"/>
  <c r="L31" i="3"/>
  <c r="L33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I33" i="3"/>
  <c r="I32" i="3"/>
  <c r="I31" i="3"/>
  <c r="H33" i="3"/>
  <c r="G33" i="3"/>
  <c r="F33" i="3"/>
  <c r="E33" i="3"/>
  <c r="D33" i="3"/>
  <c r="C33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H32" i="3"/>
  <c r="H31" i="3"/>
  <c r="H30" i="3"/>
  <c r="H29" i="3"/>
  <c r="H25" i="3"/>
  <c r="H18" i="3"/>
  <c r="H17" i="3"/>
  <c r="H13" i="3"/>
  <c r="H10" i="3"/>
  <c r="G32" i="3"/>
  <c r="G31" i="3"/>
  <c r="G29" i="3"/>
  <c r="G28" i="3"/>
  <c r="G24" i="3"/>
  <c r="G17" i="3"/>
  <c r="G16" i="3"/>
  <c r="G13" i="3"/>
  <c r="G12" i="3"/>
  <c r="G10" i="3"/>
  <c r="F32" i="3"/>
  <c r="F31" i="3"/>
  <c r="F29" i="3"/>
  <c r="F28" i="3"/>
  <c r="F24" i="3"/>
  <c r="F17" i="3"/>
  <c r="F16" i="3"/>
  <c r="F13" i="3"/>
  <c r="F12" i="3"/>
  <c r="F10" i="3"/>
  <c r="E32" i="3"/>
  <c r="E31" i="3"/>
  <c r="E30" i="3"/>
  <c r="E29" i="3"/>
  <c r="E25" i="3"/>
  <c r="E18" i="3"/>
  <c r="E17" i="3"/>
  <c r="E13" i="3"/>
  <c r="E10" i="3"/>
  <c r="D32" i="3"/>
  <c r="D31" i="3"/>
  <c r="D27" i="3"/>
  <c r="D20" i="3"/>
  <c r="D19" i="3"/>
  <c r="D15" i="3"/>
  <c r="D13" i="3"/>
  <c r="D10" i="3"/>
  <c r="D8" i="3"/>
  <c r="D7" i="3"/>
  <c r="C32" i="3"/>
  <c r="C31" i="3"/>
  <c r="C30" i="3"/>
  <c r="C23" i="3"/>
  <c r="C22" i="3"/>
  <c r="C18" i="3"/>
  <c r="C14" i="3"/>
  <c r="C13" i="3"/>
  <c r="C11" i="3"/>
  <c r="C10" i="3"/>
  <c r="C7" i="3"/>
  <c r="C9" i="3"/>
  <c r="AH3" i="3"/>
  <c r="H28" i="3" s="1"/>
  <c r="C12" i="3" l="1"/>
  <c r="C24" i="3"/>
  <c r="D9" i="3"/>
  <c r="D21" i="3"/>
  <c r="E7" i="3"/>
  <c r="E19" i="3"/>
  <c r="F18" i="3"/>
  <c r="F30" i="3"/>
  <c r="G18" i="3"/>
  <c r="G30" i="3"/>
  <c r="H19" i="3"/>
  <c r="C25" i="3"/>
  <c r="D22" i="3"/>
  <c r="E8" i="3"/>
  <c r="E20" i="3"/>
  <c r="F19" i="3"/>
  <c r="G19" i="3"/>
  <c r="H20" i="3"/>
  <c r="C26" i="3"/>
  <c r="D11" i="3"/>
  <c r="D23" i="3"/>
  <c r="E9" i="3"/>
  <c r="E21" i="3"/>
  <c r="F8" i="3"/>
  <c r="F20" i="3"/>
  <c r="G20" i="3"/>
  <c r="H21" i="3"/>
  <c r="C15" i="3"/>
  <c r="C27" i="3"/>
  <c r="D12" i="3"/>
  <c r="D24" i="3"/>
  <c r="E22" i="3"/>
  <c r="F9" i="3"/>
  <c r="F21" i="3"/>
  <c r="G9" i="3"/>
  <c r="G21" i="3"/>
  <c r="H22" i="3"/>
  <c r="C16" i="3"/>
  <c r="C28" i="3"/>
  <c r="D25" i="3"/>
  <c r="E11" i="3"/>
  <c r="E23" i="3"/>
  <c r="F22" i="3"/>
  <c r="G22" i="3"/>
  <c r="H11" i="3"/>
  <c r="H23" i="3"/>
  <c r="C5" i="3"/>
  <c r="C17" i="3"/>
  <c r="C29" i="3"/>
  <c r="D14" i="3"/>
  <c r="D26" i="3"/>
  <c r="E12" i="3"/>
  <c r="E24" i="3"/>
  <c r="F11" i="3"/>
  <c r="F23" i="3"/>
  <c r="G11" i="3"/>
  <c r="G23" i="3"/>
  <c r="H12" i="3"/>
  <c r="H24" i="3"/>
  <c r="C8" i="3"/>
  <c r="C19" i="3"/>
  <c r="D16" i="3"/>
  <c r="D28" i="3"/>
  <c r="E14" i="3"/>
  <c r="E26" i="3"/>
  <c r="F25" i="3"/>
  <c r="G25" i="3"/>
  <c r="H14" i="3"/>
  <c r="H26" i="3"/>
  <c r="C20" i="3"/>
  <c r="D17" i="3"/>
  <c r="D29" i="3"/>
  <c r="E15" i="3"/>
  <c r="E27" i="3"/>
  <c r="F14" i="3"/>
  <c r="F26" i="3"/>
  <c r="G14" i="3"/>
  <c r="G26" i="3"/>
  <c r="H15" i="3"/>
  <c r="H27" i="3"/>
  <c r="C6" i="3"/>
  <c r="C21" i="3"/>
  <c r="D6" i="3"/>
  <c r="D18" i="3"/>
  <c r="D30" i="3"/>
  <c r="E16" i="3"/>
  <c r="E28" i="3"/>
  <c r="F15" i="3"/>
  <c r="F27" i="3"/>
  <c r="G15" i="3"/>
  <c r="G27" i="3"/>
  <c r="H16" i="3"/>
</calcChain>
</file>

<file path=xl/sharedStrings.xml><?xml version="1.0" encoding="utf-8"?>
<sst xmlns="http://schemas.openxmlformats.org/spreadsheetml/2006/main" count="132" uniqueCount="64">
  <si>
    <t>Code_Agence</t>
  </si>
  <si>
    <t>Nom_Agence</t>
  </si>
  <si>
    <t>FIRST BANK AHALA</t>
  </si>
  <si>
    <t>/</t>
  </si>
  <si>
    <t>FIRST BANK AWAE</t>
  </si>
  <si>
    <t>FIRST BANK BASTOS</t>
  </si>
  <si>
    <t>FIRST BANK BERTOUA</t>
  </si>
  <si>
    <t>FIRST BANK BIYEM-ASSI</t>
  </si>
  <si>
    <t>FIRST BANK BIYEM-ASSI CARREFOU</t>
  </si>
  <si>
    <t>FIRST BANK CAMAIR</t>
  </si>
  <si>
    <t>FIRST BANK DAMAS</t>
  </si>
  <si>
    <t>FIRST BANK EBOLOWA</t>
  </si>
  <si>
    <t>FIRST BANK ESSOS</t>
  </si>
  <si>
    <t>FIRST BANK ETOUDI</t>
  </si>
  <si>
    <t>FIRST BANK FENETRE ISLAMIQUE YAOUNDE</t>
  </si>
  <si>
    <t>FIRST BANK MARCHE CENTRAL</t>
  </si>
  <si>
    <t>FIRST BANK MELEN</t>
  </si>
  <si>
    <t>FIRST BANK MENDONG</t>
  </si>
  <si>
    <t>FIRST BANK MESSA</t>
  </si>
  <si>
    <t>FIRST BANK MESSAMENDONGO</t>
  </si>
  <si>
    <t>FIRST BANK MFOU</t>
  </si>
  <si>
    <t>FIRST BANK MFOUNDI</t>
  </si>
  <si>
    <t>FIRST BANK MIMBOMAN</t>
  </si>
  <si>
    <t>FIRST BANK MOKOLO</t>
  </si>
  <si>
    <t>FIRST BANK MVAN</t>
  </si>
  <si>
    <t>FIRST BANK MVOG-MBI</t>
  </si>
  <si>
    <t>FIRST BANK NKOABANG</t>
  </si>
  <si>
    <t>FIRST BANK NKOLBISSON</t>
  </si>
  <si>
    <t>FIRST BANK OLEMBE</t>
  </si>
  <si>
    <t>FIRST BANK OMNISPORT</t>
  </si>
  <si>
    <t>FIRST BANK RETRAITE</t>
  </si>
  <si>
    <t>FIRST BANK HIPPODROME</t>
  </si>
  <si>
    <t>Global caisse</t>
  </si>
  <si>
    <t>BEAC</t>
  </si>
  <si>
    <t>00001</t>
  </si>
  <si>
    <t>00005</t>
  </si>
  <si>
    <t>00010</t>
  </si>
  <si>
    <t>00021</t>
  </si>
  <si>
    <t>00024</t>
  </si>
  <si>
    <t>00026</t>
  </si>
  <si>
    <t>00031</t>
  </si>
  <si>
    <t>00033</t>
  </si>
  <si>
    <t>00034</t>
  </si>
  <si>
    <t>00037</t>
  </si>
  <si>
    <t>00038</t>
  </si>
  <si>
    <t>00039</t>
  </si>
  <si>
    <t>00040</t>
  </si>
  <si>
    <t>00042</t>
  </si>
  <si>
    <t>00043</t>
  </si>
  <si>
    <t>00045</t>
  </si>
  <si>
    <t>00046</t>
  </si>
  <si>
    <t>00055</t>
  </si>
  <si>
    <t>00056</t>
  </si>
  <si>
    <t>00057</t>
  </si>
  <si>
    <t>00062</t>
  </si>
  <si>
    <t>00063</t>
  </si>
  <si>
    <t>00064</t>
  </si>
  <si>
    <t>00073</t>
  </si>
  <si>
    <t>00075</t>
  </si>
  <si>
    <t>00079</t>
  </si>
  <si>
    <t>00081</t>
  </si>
  <si>
    <t>00085</t>
  </si>
  <si>
    <t>00087</t>
  </si>
  <si>
    <t>Stock_de_securite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</si>
</sst>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164" fontId="0" fillId="0" borderId="0" xfId="1" applyNumberFormat="1" applyFont="1"/>
    <xf numFmtId="41" fontId="2" fillId="2" borderId="1" xfId="2" applyFont="1" applyFill="1" applyBorder="1" applyAlignment="1">
      <alignment horizontal="left" vertical="top"/>
    </xf>
    <xf numFmtId="41" fontId="2" fillId="3" borderId="1" xfId="2" applyFont="1" applyFill="1" applyBorder="1" applyAlignment="1">
      <alignment horizontal="left" vertical="top"/>
    </xf>
    <xf numFmtId="41" fontId="2" fillId="2" borderId="2" xfId="2" applyFont="1" applyFill="1" applyBorder="1" applyAlignment="1">
      <alignment horizontal="left" vertical="top"/>
    </xf>
    <xf numFmtId="0" fontId="0" fillId="0" borderId="0" xfId="0" applyAlignment="1">
      <alignment textRotation="90"/>
    </xf>
    <xf numFmtId="49" fontId="0" fillId="0" borderId="0" xfId="0" applyNumberFormat="1"/>
    <xf numFmtId="49" fontId="0" fillId="0" borderId="0" xfId="1" applyNumberFormat="1" applyFont="1" applyAlignment="1">
      <alignment textRotation="90"/>
    </xf>
    <xf numFmtId="49" fontId="0" fillId="0" borderId="0" xfId="0" applyNumberFormat="1" applyAlignment="1">
      <alignment textRotation="90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F091-22B2-4990-803F-8E1942B1A403}">
  <dimension ref="A1:D30"/>
  <sheetViews>
    <sheetView tabSelected="1" workbookViewId="0">
      <selection activeCell="A12" sqref="A12"/>
    </sheetView>
  </sheetViews>
  <sheetFormatPr baseColWidth="10" defaultRowHeight="15" x14ac:dyDescent="0.25"/>
  <cols>
    <col min="1" max="1" width="13.140625" bestFit="1" customWidth="1"/>
    <col min="2" max="2" width="39.140625" bestFit="1" customWidth="1"/>
    <col min="3" max="3" width="17.5703125" bestFit="1" customWidth="1"/>
    <col min="4" max="4" width="17.7109375" bestFit="1" customWidth="1"/>
  </cols>
  <sheetData>
    <row r="1" spans="1:4" x14ac:dyDescent="0.25">
      <c r="A1" t="s">
        <v>0</v>
      </c>
      <c r="B1" t="s">
        <v>1</v>
      </c>
      <c r="C1" s="1" t="s">
        <v>63</v>
      </c>
      <c r="D1" t="s">
        <v>32</v>
      </c>
    </row>
    <row r="2" spans="1:4" ht="15.75" x14ac:dyDescent="0.25">
      <c r="A2" s="7" t="s">
        <v>57</v>
      </c>
      <c r="B2" t="s">
        <v>2</v>
      </c>
      <c r="C2" s="2">
        <v>183610000</v>
      </c>
      <c r="D2" s="3" t="s">
        <v>3</v>
      </c>
    </row>
    <row r="3" spans="1:4" ht="15.75" x14ac:dyDescent="0.25">
      <c r="A3" s="7" t="s">
        <v>62</v>
      </c>
      <c r="B3" t="s">
        <v>4</v>
      </c>
      <c r="C3" s="2">
        <v>224430000</v>
      </c>
      <c r="D3" s="3" t="s">
        <v>3</v>
      </c>
    </row>
    <row r="4" spans="1:4" ht="15.75" x14ac:dyDescent="0.25">
      <c r="A4" s="7" t="s">
        <v>44</v>
      </c>
      <c r="B4" t="s">
        <v>5</v>
      </c>
      <c r="C4" s="2">
        <v>122040000</v>
      </c>
      <c r="D4" s="4">
        <v>150000000</v>
      </c>
    </row>
    <row r="5" spans="1:4" ht="15.75" x14ac:dyDescent="0.25">
      <c r="A5" s="7" t="s">
        <v>40</v>
      </c>
      <c r="B5" t="s">
        <v>6</v>
      </c>
      <c r="C5" s="2">
        <v>385230000</v>
      </c>
      <c r="D5" s="3">
        <v>2000000000</v>
      </c>
    </row>
    <row r="6" spans="1:4" ht="15.75" x14ac:dyDescent="0.25">
      <c r="A6" s="7" t="s">
        <v>38</v>
      </c>
      <c r="B6" t="s">
        <v>7</v>
      </c>
      <c r="C6" s="2">
        <v>108430000</v>
      </c>
      <c r="D6" s="3">
        <v>250000000</v>
      </c>
    </row>
    <row r="7" spans="1:4" ht="15.75" x14ac:dyDescent="0.25">
      <c r="A7" s="7" t="s">
        <v>58</v>
      </c>
      <c r="B7" t="s">
        <v>8</v>
      </c>
      <c r="C7" s="2">
        <v>183320000</v>
      </c>
      <c r="D7" s="4" t="s">
        <v>3</v>
      </c>
    </row>
    <row r="8" spans="1:4" ht="15.75" x14ac:dyDescent="0.25">
      <c r="A8" s="7" t="s">
        <v>60</v>
      </c>
      <c r="B8" t="s">
        <v>9</v>
      </c>
      <c r="C8" s="2">
        <v>205690000</v>
      </c>
      <c r="D8" s="4" t="s">
        <v>3</v>
      </c>
    </row>
    <row r="9" spans="1:4" ht="15.75" x14ac:dyDescent="0.25">
      <c r="A9" s="7" t="s">
        <v>53</v>
      </c>
      <c r="B9" t="s">
        <v>10</v>
      </c>
      <c r="C9" s="2">
        <v>158360000</v>
      </c>
      <c r="D9" s="3">
        <v>280000000</v>
      </c>
    </row>
    <row r="10" spans="1:4" ht="15.75" x14ac:dyDescent="0.25">
      <c r="A10" s="7" t="s">
        <v>43</v>
      </c>
      <c r="B10" t="s">
        <v>11</v>
      </c>
      <c r="C10" s="2">
        <v>288040000</v>
      </c>
      <c r="D10" s="3">
        <v>400000000</v>
      </c>
    </row>
    <row r="11" spans="1:4" ht="15.75" x14ac:dyDescent="0.25">
      <c r="A11" s="7" t="s">
        <v>45</v>
      </c>
      <c r="B11" t="s">
        <v>12</v>
      </c>
      <c r="C11" s="2">
        <v>305720000</v>
      </c>
      <c r="D11" s="3">
        <v>310000000</v>
      </c>
    </row>
    <row r="12" spans="1:4" ht="15.75" x14ac:dyDescent="0.25">
      <c r="A12" s="7" t="s">
        <v>37</v>
      </c>
      <c r="B12" t="s">
        <v>13</v>
      </c>
      <c r="C12" s="2">
        <v>298240000</v>
      </c>
      <c r="D12" s="3">
        <v>309866719</v>
      </c>
    </row>
    <row r="13" spans="1:4" ht="15.75" x14ac:dyDescent="0.25">
      <c r="A13" s="7" t="s">
        <v>47</v>
      </c>
      <c r="B13" t="s">
        <v>14</v>
      </c>
      <c r="C13" s="2">
        <v>23960000</v>
      </c>
      <c r="D13" s="3">
        <v>60000000</v>
      </c>
    </row>
    <row r="14" spans="1:4" ht="15.75" x14ac:dyDescent="0.25">
      <c r="A14" s="7" t="s">
        <v>50</v>
      </c>
      <c r="B14" t="s">
        <v>15</v>
      </c>
      <c r="C14" s="2">
        <v>266279999.99999997</v>
      </c>
      <c r="D14" s="4">
        <v>369553191</v>
      </c>
    </row>
    <row r="15" spans="1:4" ht="15.75" x14ac:dyDescent="0.25">
      <c r="A15" s="7" t="s">
        <v>52</v>
      </c>
      <c r="B15" t="s">
        <v>16</v>
      </c>
      <c r="C15" s="2">
        <v>107480000</v>
      </c>
      <c r="D15" s="4">
        <v>250000000</v>
      </c>
    </row>
    <row r="16" spans="1:4" ht="15.75" x14ac:dyDescent="0.25">
      <c r="A16" s="7" t="s">
        <v>42</v>
      </c>
      <c r="B16" t="s">
        <v>17</v>
      </c>
      <c r="C16" s="2">
        <v>164970000</v>
      </c>
      <c r="D16" s="4">
        <v>250000000</v>
      </c>
    </row>
    <row r="17" spans="1:4" ht="15.75" x14ac:dyDescent="0.25">
      <c r="A17" s="7" t="s">
        <v>35</v>
      </c>
      <c r="B17" t="s">
        <v>18</v>
      </c>
      <c r="C17" s="2">
        <v>259190000</v>
      </c>
      <c r="D17" s="3">
        <v>430788676</v>
      </c>
    </row>
    <row r="18" spans="1:4" ht="15.75" x14ac:dyDescent="0.25">
      <c r="A18" s="7" t="s">
        <v>48</v>
      </c>
      <c r="B18" t="s">
        <v>19</v>
      </c>
      <c r="C18" s="2">
        <v>202740000</v>
      </c>
      <c r="D18" s="4">
        <v>355648333</v>
      </c>
    </row>
    <row r="19" spans="1:4" ht="15.75" x14ac:dyDescent="0.25">
      <c r="A19" s="7" t="s">
        <v>61</v>
      </c>
      <c r="B19" t="s">
        <v>20</v>
      </c>
      <c r="C19" s="2">
        <v>101100000</v>
      </c>
      <c r="D19" s="4" t="s">
        <v>3</v>
      </c>
    </row>
    <row r="20" spans="1:4" ht="15.75" x14ac:dyDescent="0.25">
      <c r="A20" s="7" t="s">
        <v>46</v>
      </c>
      <c r="B20" t="s">
        <v>21</v>
      </c>
      <c r="C20" s="2">
        <v>213560000</v>
      </c>
      <c r="D20" s="3">
        <v>306176471</v>
      </c>
    </row>
    <row r="21" spans="1:4" ht="15.75" x14ac:dyDescent="0.25">
      <c r="A21" s="7" t="s">
        <v>41</v>
      </c>
      <c r="B21" t="s">
        <v>22</v>
      </c>
      <c r="C21" s="2">
        <v>256860000</v>
      </c>
      <c r="D21" s="4">
        <v>309017647</v>
      </c>
    </row>
    <row r="22" spans="1:4" ht="15.75" x14ac:dyDescent="0.25">
      <c r="A22" s="7" t="s">
        <v>59</v>
      </c>
      <c r="B22" t="s">
        <v>23</v>
      </c>
      <c r="C22" s="2">
        <v>125540000</v>
      </c>
      <c r="D22" s="3" t="s">
        <v>3</v>
      </c>
    </row>
    <row r="23" spans="1:4" ht="15.75" x14ac:dyDescent="0.25">
      <c r="A23" s="7" t="s">
        <v>54</v>
      </c>
      <c r="B23" t="s">
        <v>24</v>
      </c>
      <c r="C23" s="2">
        <v>190480000</v>
      </c>
      <c r="D23" s="4">
        <v>250000000</v>
      </c>
    </row>
    <row r="24" spans="1:4" ht="15.75" x14ac:dyDescent="0.25">
      <c r="A24" s="7" t="s">
        <v>39</v>
      </c>
      <c r="B24" t="s">
        <v>25</v>
      </c>
      <c r="C24" s="2">
        <v>220110000</v>
      </c>
      <c r="D24" s="3">
        <v>357365385</v>
      </c>
    </row>
    <row r="25" spans="1:4" ht="15.75" x14ac:dyDescent="0.25">
      <c r="A25" s="7" t="s">
        <v>55</v>
      </c>
      <c r="B25" t="s">
        <v>26</v>
      </c>
      <c r="C25" s="2">
        <v>191580000</v>
      </c>
      <c r="D25" s="3">
        <v>250000000</v>
      </c>
    </row>
    <row r="26" spans="1:4" ht="15.75" x14ac:dyDescent="0.25">
      <c r="A26" s="7" t="s">
        <v>56</v>
      </c>
      <c r="B26" t="s">
        <v>27</v>
      </c>
      <c r="C26" s="2">
        <v>181760000</v>
      </c>
      <c r="D26" s="3">
        <v>250000000</v>
      </c>
    </row>
    <row r="27" spans="1:4" ht="15.75" x14ac:dyDescent="0.25">
      <c r="A27" s="7" t="s">
        <v>51</v>
      </c>
      <c r="B27" t="s">
        <v>28</v>
      </c>
      <c r="C27" s="2">
        <v>250000000</v>
      </c>
      <c r="D27" s="4">
        <v>250000000</v>
      </c>
    </row>
    <row r="28" spans="1:4" ht="15.75" x14ac:dyDescent="0.25">
      <c r="A28" s="7" t="s">
        <v>49</v>
      </c>
      <c r="B28" t="s">
        <v>29</v>
      </c>
      <c r="C28" s="2">
        <v>248520000</v>
      </c>
      <c r="D28" s="3">
        <v>365753968</v>
      </c>
    </row>
    <row r="29" spans="1:4" ht="15.75" x14ac:dyDescent="0.25">
      <c r="A29" s="7" t="s">
        <v>36</v>
      </c>
      <c r="B29" t="s">
        <v>30</v>
      </c>
      <c r="C29" s="2">
        <v>261600000.00000003</v>
      </c>
      <c r="D29" s="4">
        <v>790000000</v>
      </c>
    </row>
    <row r="30" spans="1:4" ht="15.75" x14ac:dyDescent="0.25">
      <c r="A30" s="7" t="s">
        <v>34</v>
      </c>
      <c r="B30" t="s">
        <v>31</v>
      </c>
      <c r="C30" s="2">
        <v>1569750000</v>
      </c>
      <c r="D30" s="5">
        <v>4500000000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44E1-5C6C-4229-BEBA-89835F8D4A39}">
  <dimension ref="A1:AH34"/>
  <sheetViews>
    <sheetView topLeftCell="B2" workbookViewId="0">
      <pane xSplit="1" ySplit="1" topLeftCell="C3" activePane="bottomRight" state="frozen"/>
      <selection activeCell="B2" sqref="B2"/>
      <selection pane="topRight" activeCell="C2" sqref="C2"/>
      <selection pane="bottomLeft" activeCell="B3" sqref="B3"/>
      <selection pane="bottomRight" activeCell="C5" sqref="C5"/>
    </sheetView>
  </sheetViews>
  <sheetFormatPr baseColWidth="10" defaultRowHeight="15" x14ac:dyDescent="0.25"/>
  <cols>
    <col min="1" max="1" width="14.42578125" bestFit="1" customWidth="1"/>
    <col min="2" max="2" width="37.140625" bestFit="1" customWidth="1"/>
    <col min="3" max="30" width="5.140625" style="2" bestFit="1" customWidth="1"/>
    <col min="31" max="31" width="4.7109375" style="2" bestFit="1" customWidth="1"/>
    <col min="32" max="32" width="3.42578125" bestFit="1" customWidth="1"/>
    <col min="33" max="33" width="3.42578125" customWidth="1"/>
    <col min="34" max="34" width="11.85546875" bestFit="1" customWidth="1"/>
  </cols>
  <sheetData>
    <row r="1" spans="1:34" x14ac:dyDescent="0.25">
      <c r="B1" t="s">
        <v>0</v>
      </c>
      <c r="C1" s="2">
        <v>1</v>
      </c>
      <c r="D1" s="2">
        <v>5</v>
      </c>
      <c r="E1" s="2">
        <v>10</v>
      </c>
      <c r="F1" s="2">
        <v>21</v>
      </c>
      <c r="G1" s="2">
        <v>24</v>
      </c>
      <c r="H1" s="2">
        <v>26</v>
      </c>
      <c r="I1" s="2">
        <v>31</v>
      </c>
      <c r="J1" s="2">
        <v>33</v>
      </c>
      <c r="K1" s="2">
        <v>34</v>
      </c>
      <c r="L1" s="2">
        <v>37</v>
      </c>
      <c r="M1" s="2">
        <v>38</v>
      </c>
      <c r="N1" s="2">
        <v>39</v>
      </c>
      <c r="O1" s="2">
        <v>40</v>
      </c>
      <c r="P1" s="2">
        <v>42</v>
      </c>
      <c r="Q1" s="2">
        <v>43</v>
      </c>
      <c r="R1" s="2">
        <v>45</v>
      </c>
      <c r="S1" s="2">
        <v>46</v>
      </c>
      <c r="T1" s="2">
        <v>55</v>
      </c>
      <c r="U1" s="2">
        <v>56</v>
      </c>
      <c r="V1" s="2">
        <v>57</v>
      </c>
      <c r="W1" s="2">
        <v>62</v>
      </c>
      <c r="X1" s="2">
        <v>63</v>
      </c>
      <c r="Y1" s="2">
        <v>64</v>
      </c>
      <c r="Z1" s="2">
        <v>73</v>
      </c>
      <c r="AA1" s="2">
        <v>75</v>
      </c>
      <c r="AB1" s="2">
        <v>79</v>
      </c>
      <c r="AC1" s="2">
        <v>81</v>
      </c>
      <c r="AD1" s="2">
        <v>85</v>
      </c>
      <c r="AE1" s="2">
        <v>87</v>
      </c>
    </row>
    <row r="2" spans="1:34" s="6" customFormat="1" ht="109.5" customHeight="1" x14ac:dyDescent="0.25">
      <c r="B2" s="6" t="s">
        <v>1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  <c r="I2" s="8" t="s">
        <v>40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51</v>
      </c>
      <c r="U2" s="8" t="s">
        <v>52</v>
      </c>
      <c r="V2" s="8" t="s">
        <v>53</v>
      </c>
      <c r="W2" s="8" t="s">
        <v>54</v>
      </c>
      <c r="X2" s="8" t="s">
        <v>55</v>
      </c>
      <c r="Y2" s="8" t="s">
        <v>56</v>
      </c>
      <c r="Z2" s="8" t="s">
        <v>57</v>
      </c>
      <c r="AA2" s="8" t="s">
        <v>58</v>
      </c>
      <c r="AB2" s="8" t="s">
        <v>59</v>
      </c>
      <c r="AC2" s="8" t="s">
        <v>60</v>
      </c>
      <c r="AD2" s="8" t="s">
        <v>61</v>
      </c>
      <c r="AE2" s="8" t="s">
        <v>62</v>
      </c>
      <c r="AF2" s="9" t="s">
        <v>33</v>
      </c>
      <c r="AG2" s="9"/>
    </row>
    <row r="3" spans="1:34" x14ac:dyDescent="0.25">
      <c r="A3" t="s">
        <v>0</v>
      </c>
      <c r="B3" t="s">
        <v>1</v>
      </c>
      <c r="AH3">
        <f>17000/350</f>
        <v>48.571428571428569</v>
      </c>
    </row>
    <row r="4" spans="1:34" x14ac:dyDescent="0.25">
      <c r="A4">
        <v>1</v>
      </c>
      <c r="B4" s="7" t="s">
        <v>34</v>
      </c>
      <c r="C4" s="2">
        <v>0</v>
      </c>
    </row>
    <row r="5" spans="1:34" x14ac:dyDescent="0.25">
      <c r="A5">
        <v>5</v>
      </c>
      <c r="B5" s="7" t="s">
        <v>35</v>
      </c>
      <c r="C5" s="2">
        <f>$AH$3</f>
        <v>48.571428571428569</v>
      </c>
      <c r="D5" s="2">
        <v>0</v>
      </c>
    </row>
    <row r="6" spans="1:34" x14ac:dyDescent="0.25">
      <c r="A6">
        <v>10</v>
      </c>
      <c r="B6" s="7" t="s">
        <v>36</v>
      </c>
      <c r="C6" s="2">
        <f>$AH$3</f>
        <v>48.571428571428569</v>
      </c>
      <c r="D6" s="2">
        <f>$AH$3</f>
        <v>48.571428571428569</v>
      </c>
      <c r="E6" s="2">
        <v>0</v>
      </c>
    </row>
    <row r="7" spans="1:34" x14ac:dyDescent="0.25">
      <c r="A7">
        <v>21</v>
      </c>
      <c r="B7" s="7" t="s">
        <v>37</v>
      </c>
      <c r="C7" s="2">
        <f>$AH$3</f>
        <v>48.571428571428569</v>
      </c>
      <c r="D7" s="2">
        <f>$AH$3</f>
        <v>48.571428571428569</v>
      </c>
      <c r="E7" s="2">
        <f>$AH$3</f>
        <v>48.571428571428569</v>
      </c>
      <c r="F7" s="2">
        <v>0</v>
      </c>
    </row>
    <row r="8" spans="1:34" x14ac:dyDescent="0.25">
      <c r="A8">
        <v>24</v>
      </c>
      <c r="B8" s="7" t="s">
        <v>38</v>
      </c>
      <c r="C8" s="2">
        <f>$AH$3</f>
        <v>48.571428571428569</v>
      </c>
      <c r="D8" s="2">
        <f>$AH$3</f>
        <v>48.571428571428569</v>
      </c>
      <c r="E8" s="2">
        <f>$AH$3</f>
        <v>48.571428571428569</v>
      </c>
      <c r="F8" s="2">
        <f>$AH$3</f>
        <v>48.571428571428569</v>
      </c>
      <c r="G8" s="2">
        <v>0</v>
      </c>
    </row>
    <row r="9" spans="1:34" x14ac:dyDescent="0.25">
      <c r="A9">
        <v>26</v>
      </c>
      <c r="B9" s="7" t="s">
        <v>39</v>
      </c>
      <c r="C9" s="2">
        <f>$AH$3</f>
        <v>48.571428571428569</v>
      </c>
      <c r="D9" s="2">
        <f>$AH$3</f>
        <v>48.571428571428569</v>
      </c>
      <c r="E9" s="2">
        <f>$AH$3</f>
        <v>48.571428571428569</v>
      </c>
      <c r="F9" s="2">
        <f>$AH$3</f>
        <v>48.571428571428569</v>
      </c>
      <c r="G9" s="2">
        <f>$AH$3</f>
        <v>48.571428571428569</v>
      </c>
      <c r="H9" s="2">
        <v>0</v>
      </c>
    </row>
    <row r="10" spans="1:34" x14ac:dyDescent="0.25">
      <c r="A10">
        <v>31</v>
      </c>
      <c r="B10" s="7" t="s">
        <v>40</v>
      </c>
      <c r="C10" s="2">
        <f t="shared" ref="C10:H10" si="0">(25000+500*340)/350</f>
        <v>557.14285714285711</v>
      </c>
      <c r="D10" s="2">
        <f t="shared" si="0"/>
        <v>557.14285714285711</v>
      </c>
      <c r="E10" s="2">
        <f t="shared" si="0"/>
        <v>557.14285714285711</v>
      </c>
      <c r="F10" s="2">
        <f t="shared" si="0"/>
        <v>557.14285714285711</v>
      </c>
      <c r="G10" s="2">
        <f t="shared" si="0"/>
        <v>557.14285714285711</v>
      </c>
      <c r="H10" s="2">
        <f t="shared" si="0"/>
        <v>557.14285714285711</v>
      </c>
      <c r="I10" s="2">
        <v>0</v>
      </c>
    </row>
    <row r="11" spans="1:34" x14ac:dyDescent="0.25">
      <c r="A11">
        <v>33</v>
      </c>
      <c r="B11" s="7" t="s">
        <v>41</v>
      </c>
      <c r="C11" s="2">
        <f t="shared" ref="C11:H12" si="1">$AH$3</f>
        <v>48.571428571428569</v>
      </c>
      <c r="D11" s="2">
        <f t="shared" si="1"/>
        <v>48.571428571428569</v>
      </c>
      <c r="E11" s="2">
        <f t="shared" si="1"/>
        <v>48.571428571428569</v>
      </c>
      <c r="F11" s="2">
        <f t="shared" si="1"/>
        <v>48.571428571428569</v>
      </c>
      <c r="G11" s="2">
        <f t="shared" si="1"/>
        <v>48.571428571428569</v>
      </c>
      <c r="H11" s="2">
        <f t="shared" si="1"/>
        <v>48.571428571428569</v>
      </c>
      <c r="I11" s="2">
        <f>(25000+500*340)/350</f>
        <v>557.14285714285711</v>
      </c>
      <c r="J11" s="2">
        <v>0</v>
      </c>
    </row>
    <row r="12" spans="1:34" x14ac:dyDescent="0.25">
      <c r="A12">
        <v>34</v>
      </c>
      <c r="B12" s="7" t="s">
        <v>42</v>
      </c>
      <c r="C12" s="2">
        <f t="shared" si="1"/>
        <v>48.571428571428569</v>
      </c>
      <c r="D12" s="2">
        <f t="shared" si="1"/>
        <v>48.571428571428569</v>
      </c>
      <c r="E12" s="2">
        <f t="shared" si="1"/>
        <v>48.571428571428569</v>
      </c>
      <c r="F12" s="2">
        <f t="shared" si="1"/>
        <v>48.571428571428569</v>
      </c>
      <c r="G12" s="2">
        <f t="shared" si="1"/>
        <v>48.571428571428569</v>
      </c>
      <c r="H12" s="2">
        <f t="shared" si="1"/>
        <v>48.571428571428569</v>
      </c>
      <c r="I12" s="2">
        <f>(25000+500*340)/350</f>
        <v>557.14285714285711</v>
      </c>
      <c r="J12" s="2">
        <f>$AH$3</f>
        <v>48.571428571428569</v>
      </c>
      <c r="K12" s="2">
        <v>0</v>
      </c>
    </row>
    <row r="13" spans="1:34" x14ac:dyDescent="0.25">
      <c r="A13">
        <v>37</v>
      </c>
      <c r="B13" s="7" t="s">
        <v>43</v>
      </c>
      <c r="C13" s="2">
        <f t="shared" ref="C13:H13" si="2">(25000+500*165)/350</f>
        <v>307.14285714285717</v>
      </c>
      <c r="D13" s="2">
        <f t="shared" si="2"/>
        <v>307.14285714285717</v>
      </c>
      <c r="E13" s="2">
        <f t="shared" si="2"/>
        <v>307.14285714285717</v>
      </c>
      <c r="F13" s="2">
        <f t="shared" si="2"/>
        <v>307.14285714285717</v>
      </c>
      <c r="G13" s="2">
        <f t="shared" si="2"/>
        <v>307.14285714285717</v>
      </c>
      <c r="H13" s="2">
        <f t="shared" si="2"/>
        <v>307.14285714285717</v>
      </c>
      <c r="I13" s="2">
        <f>(25000+500*450)/350</f>
        <v>714.28571428571433</v>
      </c>
      <c r="J13" s="2">
        <f>(25000+500*165)/350</f>
        <v>307.14285714285717</v>
      </c>
      <c r="K13" s="2">
        <f>(25000+500*165)/350</f>
        <v>307.14285714285717</v>
      </c>
      <c r="L13" s="2">
        <v>0</v>
      </c>
    </row>
    <row r="14" spans="1:34" x14ac:dyDescent="0.25">
      <c r="A14">
        <v>38</v>
      </c>
      <c r="B14" s="7" t="s">
        <v>44</v>
      </c>
      <c r="C14" s="2">
        <f t="shared" ref="C14:H23" si="3">$AH$3</f>
        <v>48.571428571428569</v>
      </c>
      <c r="D14" s="2">
        <f t="shared" si="3"/>
        <v>48.571428571428569</v>
      </c>
      <c r="E14" s="2">
        <f t="shared" si="3"/>
        <v>48.571428571428569</v>
      </c>
      <c r="F14" s="2">
        <f t="shared" si="3"/>
        <v>48.571428571428569</v>
      </c>
      <c r="G14" s="2">
        <f t="shared" si="3"/>
        <v>48.571428571428569</v>
      </c>
      <c r="H14" s="2">
        <f t="shared" si="3"/>
        <v>48.571428571428569</v>
      </c>
      <c r="I14" s="2">
        <f t="shared" ref="I14:I33" si="4">(25000+500*340)/350</f>
        <v>557.14285714285711</v>
      </c>
      <c r="J14" s="2">
        <f t="shared" ref="J14:K30" si="5">$AH$3</f>
        <v>48.571428571428569</v>
      </c>
      <c r="K14" s="2">
        <f t="shared" si="5"/>
        <v>48.571428571428569</v>
      </c>
      <c r="L14" s="2">
        <f>(25000+500*165)/350</f>
        <v>307.14285714285717</v>
      </c>
      <c r="M14" s="2">
        <v>0</v>
      </c>
    </row>
    <row r="15" spans="1:34" x14ac:dyDescent="0.25">
      <c r="A15">
        <v>39</v>
      </c>
      <c r="B15" s="7" t="s">
        <v>45</v>
      </c>
      <c r="C15" s="2">
        <f t="shared" si="3"/>
        <v>48.571428571428569</v>
      </c>
      <c r="D15" s="2">
        <f t="shared" si="3"/>
        <v>48.571428571428569</v>
      </c>
      <c r="E15" s="2">
        <f t="shared" si="3"/>
        <v>48.571428571428569</v>
      </c>
      <c r="F15" s="2">
        <f t="shared" si="3"/>
        <v>48.571428571428569</v>
      </c>
      <c r="G15" s="2">
        <f t="shared" si="3"/>
        <v>48.571428571428569</v>
      </c>
      <c r="H15" s="2">
        <f t="shared" si="3"/>
        <v>48.571428571428569</v>
      </c>
      <c r="I15" s="2">
        <f t="shared" si="4"/>
        <v>557.14285714285711</v>
      </c>
      <c r="J15" s="2">
        <f t="shared" si="5"/>
        <v>48.571428571428569</v>
      </c>
      <c r="K15" s="2">
        <f t="shared" si="5"/>
        <v>48.571428571428569</v>
      </c>
      <c r="L15" s="2">
        <f t="shared" ref="L15:L33" si="6">(25000+500*165)/350</f>
        <v>307.14285714285717</v>
      </c>
      <c r="M15" s="2">
        <f t="shared" ref="M15:M30" si="7">$AH$3</f>
        <v>48.571428571428569</v>
      </c>
      <c r="N15" s="2">
        <v>0</v>
      </c>
    </row>
    <row r="16" spans="1:34" x14ac:dyDescent="0.25">
      <c r="A16">
        <v>40</v>
      </c>
      <c r="B16" s="7" t="s">
        <v>46</v>
      </c>
      <c r="C16" s="2">
        <f t="shared" si="3"/>
        <v>48.571428571428569</v>
      </c>
      <c r="D16" s="2">
        <f t="shared" si="3"/>
        <v>48.571428571428569</v>
      </c>
      <c r="E16" s="2">
        <f t="shared" si="3"/>
        <v>48.571428571428569</v>
      </c>
      <c r="F16" s="2">
        <f t="shared" si="3"/>
        <v>48.571428571428569</v>
      </c>
      <c r="G16" s="2">
        <f t="shared" si="3"/>
        <v>48.571428571428569</v>
      </c>
      <c r="H16" s="2">
        <f t="shared" si="3"/>
        <v>48.571428571428569</v>
      </c>
      <c r="I16" s="2">
        <f t="shared" si="4"/>
        <v>557.14285714285711</v>
      </c>
      <c r="J16" s="2">
        <f t="shared" si="5"/>
        <v>48.571428571428569</v>
      </c>
      <c r="K16" s="2">
        <f t="shared" si="5"/>
        <v>48.571428571428569</v>
      </c>
      <c r="L16" s="2">
        <f t="shared" si="6"/>
        <v>307.14285714285717</v>
      </c>
      <c r="M16" s="2">
        <f t="shared" si="7"/>
        <v>48.571428571428569</v>
      </c>
      <c r="N16" s="2">
        <f t="shared" ref="N16:N30" si="8">$AH$3</f>
        <v>48.571428571428569</v>
      </c>
      <c r="O16" s="2">
        <v>0</v>
      </c>
    </row>
    <row r="17" spans="1:31" x14ac:dyDescent="0.25">
      <c r="A17">
        <v>42</v>
      </c>
      <c r="B17" s="7" t="s">
        <v>47</v>
      </c>
      <c r="C17" s="2">
        <f t="shared" si="3"/>
        <v>48.571428571428569</v>
      </c>
      <c r="D17" s="2">
        <f t="shared" si="3"/>
        <v>48.571428571428569</v>
      </c>
      <c r="E17" s="2">
        <f t="shared" si="3"/>
        <v>48.571428571428569</v>
      </c>
      <c r="F17" s="2">
        <f t="shared" si="3"/>
        <v>48.571428571428569</v>
      </c>
      <c r="G17" s="2">
        <f t="shared" si="3"/>
        <v>48.571428571428569</v>
      </c>
      <c r="H17" s="2">
        <f t="shared" si="3"/>
        <v>48.571428571428569</v>
      </c>
      <c r="I17" s="2">
        <f t="shared" si="4"/>
        <v>557.14285714285711</v>
      </c>
      <c r="J17" s="2">
        <f t="shared" si="5"/>
        <v>48.571428571428569</v>
      </c>
      <c r="K17" s="2">
        <f t="shared" si="5"/>
        <v>48.571428571428569</v>
      </c>
      <c r="L17" s="2">
        <f t="shared" si="6"/>
        <v>307.14285714285717</v>
      </c>
      <c r="M17" s="2">
        <f t="shared" si="7"/>
        <v>48.571428571428569</v>
      </c>
      <c r="N17" s="2">
        <f t="shared" si="8"/>
        <v>48.571428571428569</v>
      </c>
      <c r="O17" s="2">
        <f t="shared" ref="O17:O30" si="9">$AH$3</f>
        <v>48.571428571428569</v>
      </c>
      <c r="P17" s="2">
        <v>0</v>
      </c>
    </row>
    <row r="18" spans="1:31" x14ac:dyDescent="0.25">
      <c r="A18">
        <v>43</v>
      </c>
      <c r="B18" s="7" t="s">
        <v>48</v>
      </c>
      <c r="C18" s="2">
        <f t="shared" si="3"/>
        <v>48.571428571428569</v>
      </c>
      <c r="D18" s="2">
        <f t="shared" si="3"/>
        <v>48.571428571428569</v>
      </c>
      <c r="E18" s="2">
        <f t="shared" si="3"/>
        <v>48.571428571428569</v>
      </c>
      <c r="F18" s="2">
        <f t="shared" si="3"/>
        <v>48.571428571428569</v>
      </c>
      <c r="G18" s="2">
        <f t="shared" si="3"/>
        <v>48.571428571428569</v>
      </c>
      <c r="H18" s="2">
        <f t="shared" si="3"/>
        <v>48.571428571428569</v>
      </c>
      <c r="I18" s="2">
        <f t="shared" si="4"/>
        <v>557.14285714285711</v>
      </c>
      <c r="J18" s="2">
        <f t="shared" si="5"/>
        <v>48.571428571428569</v>
      </c>
      <c r="K18" s="2">
        <f t="shared" si="5"/>
        <v>48.571428571428569</v>
      </c>
      <c r="L18" s="2">
        <f t="shared" si="6"/>
        <v>307.14285714285717</v>
      </c>
      <c r="M18" s="2">
        <f t="shared" si="7"/>
        <v>48.571428571428569</v>
      </c>
      <c r="N18" s="2">
        <f t="shared" si="8"/>
        <v>48.571428571428569</v>
      </c>
      <c r="O18" s="2">
        <f t="shared" si="9"/>
        <v>48.571428571428569</v>
      </c>
      <c r="P18" s="2">
        <f t="shared" ref="P18:P30" si="10">$AH$3</f>
        <v>48.571428571428569</v>
      </c>
      <c r="Q18" s="2">
        <v>0</v>
      </c>
    </row>
    <row r="19" spans="1:31" x14ac:dyDescent="0.25">
      <c r="A19">
        <v>45</v>
      </c>
      <c r="B19" s="7" t="s">
        <v>49</v>
      </c>
      <c r="C19" s="2">
        <f t="shared" si="3"/>
        <v>48.571428571428569</v>
      </c>
      <c r="D19" s="2">
        <f t="shared" si="3"/>
        <v>48.571428571428569</v>
      </c>
      <c r="E19" s="2">
        <f t="shared" si="3"/>
        <v>48.571428571428569</v>
      </c>
      <c r="F19" s="2">
        <f t="shared" si="3"/>
        <v>48.571428571428569</v>
      </c>
      <c r="G19" s="2">
        <f t="shared" si="3"/>
        <v>48.571428571428569</v>
      </c>
      <c r="H19" s="2">
        <f t="shared" si="3"/>
        <v>48.571428571428569</v>
      </c>
      <c r="I19" s="2">
        <f t="shared" si="4"/>
        <v>557.14285714285711</v>
      </c>
      <c r="J19" s="2">
        <f t="shared" si="5"/>
        <v>48.571428571428569</v>
      </c>
      <c r="K19" s="2">
        <f t="shared" si="5"/>
        <v>48.571428571428569</v>
      </c>
      <c r="L19" s="2">
        <f t="shared" si="6"/>
        <v>307.14285714285717</v>
      </c>
      <c r="M19" s="2">
        <f t="shared" si="7"/>
        <v>48.571428571428569</v>
      </c>
      <c r="N19" s="2">
        <f t="shared" si="8"/>
        <v>48.571428571428569</v>
      </c>
      <c r="O19" s="2">
        <f t="shared" si="9"/>
        <v>48.571428571428569</v>
      </c>
      <c r="P19" s="2">
        <f t="shared" si="10"/>
        <v>48.571428571428569</v>
      </c>
      <c r="Q19" s="2">
        <f t="shared" ref="Q19:Q30" si="11">$AH$3</f>
        <v>48.571428571428569</v>
      </c>
      <c r="R19" s="2">
        <v>0</v>
      </c>
    </row>
    <row r="20" spans="1:31" x14ac:dyDescent="0.25">
      <c r="A20">
        <v>46</v>
      </c>
      <c r="B20" s="7" t="s">
        <v>50</v>
      </c>
      <c r="C20" s="2">
        <f t="shared" si="3"/>
        <v>48.571428571428569</v>
      </c>
      <c r="D20" s="2">
        <f t="shared" si="3"/>
        <v>48.571428571428569</v>
      </c>
      <c r="E20" s="2">
        <f t="shared" si="3"/>
        <v>48.571428571428569</v>
      </c>
      <c r="F20" s="2">
        <f t="shared" si="3"/>
        <v>48.571428571428569</v>
      </c>
      <c r="G20" s="2">
        <f t="shared" si="3"/>
        <v>48.571428571428569</v>
      </c>
      <c r="H20" s="2">
        <f t="shared" si="3"/>
        <v>48.571428571428569</v>
      </c>
      <c r="I20" s="2">
        <f t="shared" si="4"/>
        <v>557.14285714285711</v>
      </c>
      <c r="J20" s="2">
        <f t="shared" si="5"/>
        <v>48.571428571428569</v>
      </c>
      <c r="K20" s="2">
        <f t="shared" si="5"/>
        <v>48.571428571428569</v>
      </c>
      <c r="L20" s="2">
        <f t="shared" si="6"/>
        <v>307.14285714285717</v>
      </c>
      <c r="M20" s="2">
        <f t="shared" si="7"/>
        <v>48.571428571428569</v>
      </c>
      <c r="N20" s="2">
        <f t="shared" si="8"/>
        <v>48.571428571428569</v>
      </c>
      <c r="O20" s="2">
        <f t="shared" si="9"/>
        <v>48.571428571428569</v>
      </c>
      <c r="P20" s="2">
        <f t="shared" si="10"/>
        <v>48.571428571428569</v>
      </c>
      <c r="Q20" s="2">
        <f t="shared" si="11"/>
        <v>48.571428571428569</v>
      </c>
      <c r="R20" s="2">
        <f t="shared" ref="R20:R30" si="12">$AH$3</f>
        <v>48.571428571428569</v>
      </c>
      <c r="S20" s="2">
        <v>0</v>
      </c>
    </row>
    <row r="21" spans="1:31" x14ac:dyDescent="0.25">
      <c r="A21">
        <v>55</v>
      </c>
      <c r="B21" s="7" t="s">
        <v>51</v>
      </c>
      <c r="C21" s="2">
        <f t="shared" si="3"/>
        <v>48.571428571428569</v>
      </c>
      <c r="D21" s="2">
        <f t="shared" si="3"/>
        <v>48.571428571428569</v>
      </c>
      <c r="E21" s="2">
        <f t="shared" si="3"/>
        <v>48.571428571428569</v>
      </c>
      <c r="F21" s="2">
        <f t="shared" si="3"/>
        <v>48.571428571428569</v>
      </c>
      <c r="G21" s="2">
        <f t="shared" si="3"/>
        <v>48.571428571428569</v>
      </c>
      <c r="H21" s="2">
        <f t="shared" si="3"/>
        <v>48.571428571428569</v>
      </c>
      <c r="I21" s="2">
        <f t="shared" si="4"/>
        <v>557.14285714285711</v>
      </c>
      <c r="J21" s="2">
        <f t="shared" si="5"/>
        <v>48.571428571428569</v>
      </c>
      <c r="K21" s="2">
        <f t="shared" si="5"/>
        <v>48.571428571428569</v>
      </c>
      <c r="L21" s="2">
        <f t="shared" si="6"/>
        <v>307.14285714285717</v>
      </c>
      <c r="M21" s="2">
        <f t="shared" si="7"/>
        <v>48.571428571428569</v>
      </c>
      <c r="N21" s="2">
        <f t="shared" si="8"/>
        <v>48.571428571428569</v>
      </c>
      <c r="O21" s="2">
        <f t="shared" si="9"/>
        <v>48.571428571428569</v>
      </c>
      <c r="P21" s="2">
        <f t="shared" si="10"/>
        <v>48.571428571428569</v>
      </c>
      <c r="Q21" s="2">
        <f t="shared" si="11"/>
        <v>48.571428571428569</v>
      </c>
      <c r="R21" s="2">
        <f t="shared" si="12"/>
        <v>48.571428571428569</v>
      </c>
      <c r="S21" s="2">
        <f t="shared" ref="S21:S30" si="13">$AH$3</f>
        <v>48.571428571428569</v>
      </c>
      <c r="T21" s="2">
        <v>0</v>
      </c>
    </row>
    <row r="22" spans="1:31" x14ac:dyDescent="0.25">
      <c r="A22">
        <v>56</v>
      </c>
      <c r="B22" s="7" t="s">
        <v>52</v>
      </c>
      <c r="C22" s="2">
        <f t="shared" si="3"/>
        <v>48.571428571428569</v>
      </c>
      <c r="D22" s="2">
        <f t="shared" si="3"/>
        <v>48.571428571428569</v>
      </c>
      <c r="E22" s="2">
        <f t="shared" si="3"/>
        <v>48.571428571428569</v>
      </c>
      <c r="F22" s="2">
        <f t="shared" si="3"/>
        <v>48.571428571428569</v>
      </c>
      <c r="G22" s="2">
        <f t="shared" si="3"/>
        <v>48.571428571428569</v>
      </c>
      <c r="H22" s="2">
        <f t="shared" si="3"/>
        <v>48.571428571428569</v>
      </c>
      <c r="I22" s="2">
        <f t="shared" si="4"/>
        <v>557.14285714285711</v>
      </c>
      <c r="J22" s="2">
        <f t="shared" si="5"/>
        <v>48.571428571428569</v>
      </c>
      <c r="K22" s="2">
        <f t="shared" si="5"/>
        <v>48.571428571428569</v>
      </c>
      <c r="L22" s="2">
        <f t="shared" si="6"/>
        <v>307.14285714285717</v>
      </c>
      <c r="M22" s="2">
        <f t="shared" si="7"/>
        <v>48.571428571428569</v>
      </c>
      <c r="N22" s="2">
        <f t="shared" si="8"/>
        <v>48.571428571428569</v>
      </c>
      <c r="O22" s="2">
        <f t="shared" si="9"/>
        <v>48.571428571428569</v>
      </c>
      <c r="P22" s="2">
        <f t="shared" si="10"/>
        <v>48.571428571428569</v>
      </c>
      <c r="Q22" s="2">
        <f t="shared" si="11"/>
        <v>48.571428571428569</v>
      </c>
      <c r="R22" s="2">
        <f t="shared" si="12"/>
        <v>48.571428571428569</v>
      </c>
      <c r="S22" s="2">
        <f t="shared" si="13"/>
        <v>48.571428571428569</v>
      </c>
      <c r="T22" s="2">
        <f t="shared" ref="T22:T30" si="14">$AH$3</f>
        <v>48.571428571428569</v>
      </c>
      <c r="U22" s="2">
        <v>0</v>
      </c>
    </row>
    <row r="23" spans="1:31" x14ac:dyDescent="0.25">
      <c r="A23">
        <v>57</v>
      </c>
      <c r="B23" s="7" t="s">
        <v>53</v>
      </c>
      <c r="C23" s="2">
        <f t="shared" si="3"/>
        <v>48.571428571428569</v>
      </c>
      <c r="D23" s="2">
        <f t="shared" si="3"/>
        <v>48.571428571428569</v>
      </c>
      <c r="E23" s="2">
        <f t="shared" si="3"/>
        <v>48.571428571428569</v>
      </c>
      <c r="F23" s="2">
        <f t="shared" si="3"/>
        <v>48.571428571428569</v>
      </c>
      <c r="G23" s="2">
        <f t="shared" si="3"/>
        <v>48.571428571428569</v>
      </c>
      <c r="H23" s="2">
        <f t="shared" si="3"/>
        <v>48.571428571428569</v>
      </c>
      <c r="I23" s="2">
        <f t="shared" si="4"/>
        <v>557.14285714285711</v>
      </c>
      <c r="J23" s="2">
        <f t="shared" si="5"/>
        <v>48.571428571428569</v>
      </c>
      <c r="K23" s="2">
        <f t="shared" si="5"/>
        <v>48.571428571428569</v>
      </c>
      <c r="L23" s="2">
        <f t="shared" si="6"/>
        <v>307.14285714285717</v>
      </c>
      <c r="M23" s="2">
        <f t="shared" si="7"/>
        <v>48.571428571428569</v>
      </c>
      <c r="N23" s="2">
        <f t="shared" si="8"/>
        <v>48.571428571428569</v>
      </c>
      <c r="O23" s="2">
        <f t="shared" si="9"/>
        <v>48.571428571428569</v>
      </c>
      <c r="P23" s="2">
        <f t="shared" si="10"/>
        <v>48.571428571428569</v>
      </c>
      <c r="Q23" s="2">
        <f t="shared" si="11"/>
        <v>48.571428571428569</v>
      </c>
      <c r="R23" s="2">
        <f t="shared" si="12"/>
        <v>48.571428571428569</v>
      </c>
      <c r="S23" s="2">
        <f t="shared" si="13"/>
        <v>48.571428571428569</v>
      </c>
      <c r="T23" s="2">
        <f t="shared" si="14"/>
        <v>48.571428571428569</v>
      </c>
      <c r="U23" s="2">
        <f t="shared" ref="U23:U30" si="15">$AH$3</f>
        <v>48.571428571428569</v>
      </c>
      <c r="V23" s="2">
        <v>0</v>
      </c>
    </row>
    <row r="24" spans="1:31" x14ac:dyDescent="0.25">
      <c r="A24">
        <v>62</v>
      </c>
      <c r="B24" s="7" t="s">
        <v>54</v>
      </c>
      <c r="C24" s="2">
        <f t="shared" ref="C24:H30" si="16">$AH$3</f>
        <v>48.571428571428569</v>
      </c>
      <c r="D24" s="2">
        <f t="shared" si="16"/>
        <v>48.571428571428569</v>
      </c>
      <c r="E24" s="2">
        <f t="shared" si="16"/>
        <v>48.571428571428569</v>
      </c>
      <c r="F24" s="2">
        <f t="shared" si="16"/>
        <v>48.571428571428569</v>
      </c>
      <c r="G24" s="2">
        <f t="shared" si="16"/>
        <v>48.571428571428569</v>
      </c>
      <c r="H24" s="2">
        <f t="shared" si="16"/>
        <v>48.571428571428569</v>
      </c>
      <c r="I24" s="2">
        <f t="shared" si="4"/>
        <v>557.14285714285711</v>
      </c>
      <c r="J24" s="2">
        <f t="shared" si="5"/>
        <v>48.571428571428569</v>
      </c>
      <c r="K24" s="2">
        <f t="shared" si="5"/>
        <v>48.571428571428569</v>
      </c>
      <c r="L24" s="2">
        <f t="shared" si="6"/>
        <v>307.14285714285717</v>
      </c>
      <c r="M24" s="2">
        <f t="shared" si="7"/>
        <v>48.571428571428569</v>
      </c>
      <c r="N24" s="2">
        <f t="shared" si="8"/>
        <v>48.571428571428569</v>
      </c>
      <c r="O24" s="2">
        <f t="shared" si="9"/>
        <v>48.571428571428569</v>
      </c>
      <c r="P24" s="2">
        <f t="shared" si="10"/>
        <v>48.571428571428569</v>
      </c>
      <c r="Q24" s="2">
        <f t="shared" si="11"/>
        <v>48.571428571428569</v>
      </c>
      <c r="R24" s="2">
        <f t="shared" si="12"/>
        <v>48.571428571428569</v>
      </c>
      <c r="S24" s="2">
        <f t="shared" si="13"/>
        <v>48.571428571428569</v>
      </c>
      <c r="T24" s="2">
        <f t="shared" si="14"/>
        <v>48.571428571428569</v>
      </c>
      <c r="U24" s="2">
        <f t="shared" si="15"/>
        <v>48.571428571428569</v>
      </c>
      <c r="V24" s="2">
        <f t="shared" ref="V24:V30" si="17">$AH$3</f>
        <v>48.571428571428569</v>
      </c>
      <c r="W24" s="2">
        <v>0</v>
      </c>
    </row>
    <row r="25" spans="1:31" x14ac:dyDescent="0.25">
      <c r="A25">
        <v>63</v>
      </c>
      <c r="B25" s="7" t="s">
        <v>55</v>
      </c>
      <c r="C25" s="2">
        <f t="shared" si="16"/>
        <v>48.571428571428569</v>
      </c>
      <c r="D25" s="2">
        <f t="shared" si="16"/>
        <v>48.571428571428569</v>
      </c>
      <c r="E25" s="2">
        <f t="shared" si="16"/>
        <v>48.571428571428569</v>
      </c>
      <c r="F25" s="2">
        <f t="shared" si="16"/>
        <v>48.571428571428569</v>
      </c>
      <c r="G25" s="2">
        <f t="shared" si="16"/>
        <v>48.571428571428569</v>
      </c>
      <c r="H25" s="2">
        <f t="shared" si="16"/>
        <v>48.571428571428569</v>
      </c>
      <c r="I25" s="2">
        <f t="shared" si="4"/>
        <v>557.14285714285711</v>
      </c>
      <c r="J25" s="2">
        <f t="shared" si="5"/>
        <v>48.571428571428569</v>
      </c>
      <c r="K25" s="2">
        <f t="shared" si="5"/>
        <v>48.571428571428569</v>
      </c>
      <c r="L25" s="2">
        <f t="shared" si="6"/>
        <v>307.14285714285717</v>
      </c>
      <c r="M25" s="2">
        <f t="shared" si="7"/>
        <v>48.571428571428569</v>
      </c>
      <c r="N25" s="2">
        <f t="shared" si="8"/>
        <v>48.571428571428569</v>
      </c>
      <c r="O25" s="2">
        <f t="shared" si="9"/>
        <v>48.571428571428569</v>
      </c>
      <c r="P25" s="2">
        <f t="shared" si="10"/>
        <v>48.571428571428569</v>
      </c>
      <c r="Q25" s="2">
        <f t="shared" si="11"/>
        <v>48.571428571428569</v>
      </c>
      <c r="R25" s="2">
        <f t="shared" si="12"/>
        <v>48.571428571428569</v>
      </c>
      <c r="S25" s="2">
        <f t="shared" si="13"/>
        <v>48.571428571428569</v>
      </c>
      <c r="T25" s="2">
        <f t="shared" si="14"/>
        <v>48.571428571428569</v>
      </c>
      <c r="U25" s="2">
        <f t="shared" si="15"/>
        <v>48.571428571428569</v>
      </c>
      <c r="V25" s="2">
        <f t="shared" si="17"/>
        <v>48.571428571428569</v>
      </c>
      <c r="W25" s="2">
        <f t="shared" ref="W25:W30" si="18">$AH$3</f>
        <v>48.571428571428569</v>
      </c>
      <c r="X25" s="2">
        <v>0</v>
      </c>
    </row>
    <row r="26" spans="1:31" x14ac:dyDescent="0.25">
      <c r="A26">
        <v>64</v>
      </c>
      <c r="B26" s="7" t="s">
        <v>56</v>
      </c>
      <c r="C26" s="2">
        <f t="shared" si="16"/>
        <v>48.571428571428569</v>
      </c>
      <c r="D26" s="2">
        <f t="shared" si="16"/>
        <v>48.571428571428569</v>
      </c>
      <c r="E26" s="2">
        <f t="shared" si="16"/>
        <v>48.571428571428569</v>
      </c>
      <c r="F26" s="2">
        <f t="shared" si="16"/>
        <v>48.571428571428569</v>
      </c>
      <c r="G26" s="2">
        <f t="shared" si="16"/>
        <v>48.571428571428569</v>
      </c>
      <c r="H26" s="2">
        <f t="shared" si="16"/>
        <v>48.571428571428569</v>
      </c>
      <c r="I26" s="2">
        <f t="shared" si="4"/>
        <v>557.14285714285711</v>
      </c>
      <c r="J26" s="2">
        <f t="shared" si="5"/>
        <v>48.571428571428569</v>
      </c>
      <c r="K26" s="2">
        <f t="shared" si="5"/>
        <v>48.571428571428569</v>
      </c>
      <c r="L26" s="2">
        <f t="shared" si="6"/>
        <v>307.14285714285717</v>
      </c>
      <c r="M26" s="2">
        <f t="shared" si="7"/>
        <v>48.571428571428569</v>
      </c>
      <c r="N26" s="2">
        <f t="shared" si="8"/>
        <v>48.571428571428569</v>
      </c>
      <c r="O26" s="2">
        <f t="shared" si="9"/>
        <v>48.571428571428569</v>
      </c>
      <c r="P26" s="2">
        <f t="shared" si="10"/>
        <v>48.571428571428569</v>
      </c>
      <c r="Q26" s="2">
        <f t="shared" si="11"/>
        <v>48.571428571428569</v>
      </c>
      <c r="R26" s="2">
        <f t="shared" si="12"/>
        <v>48.571428571428569</v>
      </c>
      <c r="S26" s="2">
        <f t="shared" si="13"/>
        <v>48.571428571428569</v>
      </c>
      <c r="T26" s="2">
        <f t="shared" si="14"/>
        <v>48.571428571428569</v>
      </c>
      <c r="U26" s="2">
        <f t="shared" si="15"/>
        <v>48.571428571428569</v>
      </c>
      <c r="V26" s="2">
        <f t="shared" si="17"/>
        <v>48.571428571428569</v>
      </c>
      <c r="W26" s="2">
        <f t="shared" si="18"/>
        <v>48.571428571428569</v>
      </c>
      <c r="X26" s="2">
        <f>$AH$3</f>
        <v>48.571428571428569</v>
      </c>
      <c r="Y26" s="2">
        <v>0</v>
      </c>
    </row>
    <row r="27" spans="1:31" x14ac:dyDescent="0.25">
      <c r="A27">
        <v>73</v>
      </c>
      <c r="B27" s="7" t="s">
        <v>57</v>
      </c>
      <c r="C27" s="2">
        <f t="shared" si="16"/>
        <v>48.571428571428569</v>
      </c>
      <c r="D27" s="2">
        <f t="shared" si="16"/>
        <v>48.571428571428569</v>
      </c>
      <c r="E27" s="2">
        <f t="shared" si="16"/>
        <v>48.571428571428569</v>
      </c>
      <c r="F27" s="2">
        <f t="shared" si="16"/>
        <v>48.571428571428569</v>
      </c>
      <c r="G27" s="2">
        <f t="shared" si="16"/>
        <v>48.571428571428569</v>
      </c>
      <c r="H27" s="2">
        <f t="shared" si="16"/>
        <v>48.571428571428569</v>
      </c>
      <c r="I27" s="2">
        <f t="shared" si="4"/>
        <v>557.14285714285711</v>
      </c>
      <c r="J27" s="2">
        <f t="shared" si="5"/>
        <v>48.571428571428569</v>
      </c>
      <c r="K27" s="2">
        <f t="shared" si="5"/>
        <v>48.571428571428569</v>
      </c>
      <c r="L27" s="2">
        <f t="shared" si="6"/>
        <v>307.14285714285717</v>
      </c>
      <c r="M27" s="2">
        <f t="shared" si="7"/>
        <v>48.571428571428569</v>
      </c>
      <c r="N27" s="2">
        <f t="shared" si="8"/>
        <v>48.571428571428569</v>
      </c>
      <c r="O27" s="2">
        <f t="shared" si="9"/>
        <v>48.571428571428569</v>
      </c>
      <c r="P27" s="2">
        <f t="shared" si="10"/>
        <v>48.571428571428569</v>
      </c>
      <c r="Q27" s="2">
        <f t="shared" si="11"/>
        <v>48.571428571428569</v>
      </c>
      <c r="R27" s="2">
        <f t="shared" si="12"/>
        <v>48.571428571428569</v>
      </c>
      <c r="S27" s="2">
        <f t="shared" si="13"/>
        <v>48.571428571428569</v>
      </c>
      <c r="T27" s="2">
        <f t="shared" si="14"/>
        <v>48.571428571428569</v>
      </c>
      <c r="U27" s="2">
        <f t="shared" si="15"/>
        <v>48.571428571428569</v>
      </c>
      <c r="V27" s="2">
        <f t="shared" si="17"/>
        <v>48.571428571428569</v>
      </c>
      <c r="W27" s="2">
        <f t="shared" si="18"/>
        <v>48.571428571428569</v>
      </c>
      <c r="X27" s="2">
        <f>$AH$3</f>
        <v>48.571428571428569</v>
      </c>
      <c r="Y27" s="2">
        <f>$AH$3</f>
        <v>48.571428571428569</v>
      </c>
      <c r="Z27" s="2">
        <v>0</v>
      </c>
    </row>
    <row r="28" spans="1:31" x14ac:dyDescent="0.25">
      <c r="A28">
        <v>75</v>
      </c>
      <c r="B28" s="7" t="s">
        <v>58</v>
      </c>
      <c r="C28" s="2">
        <f t="shared" si="16"/>
        <v>48.571428571428569</v>
      </c>
      <c r="D28" s="2">
        <f t="shared" si="16"/>
        <v>48.571428571428569</v>
      </c>
      <c r="E28" s="2">
        <f t="shared" si="16"/>
        <v>48.571428571428569</v>
      </c>
      <c r="F28" s="2">
        <f t="shared" si="16"/>
        <v>48.571428571428569</v>
      </c>
      <c r="G28" s="2">
        <f t="shared" si="16"/>
        <v>48.571428571428569</v>
      </c>
      <c r="H28" s="2">
        <f t="shared" si="16"/>
        <v>48.571428571428569</v>
      </c>
      <c r="I28" s="2">
        <f t="shared" si="4"/>
        <v>557.14285714285711</v>
      </c>
      <c r="J28" s="2">
        <f t="shared" si="5"/>
        <v>48.571428571428569</v>
      </c>
      <c r="K28" s="2">
        <f t="shared" si="5"/>
        <v>48.571428571428569</v>
      </c>
      <c r="L28" s="2">
        <f t="shared" si="6"/>
        <v>307.14285714285717</v>
      </c>
      <c r="M28" s="2">
        <f t="shared" si="7"/>
        <v>48.571428571428569</v>
      </c>
      <c r="N28" s="2">
        <f t="shared" si="8"/>
        <v>48.571428571428569</v>
      </c>
      <c r="O28" s="2">
        <f t="shared" si="9"/>
        <v>48.571428571428569</v>
      </c>
      <c r="P28" s="2">
        <f t="shared" si="10"/>
        <v>48.571428571428569</v>
      </c>
      <c r="Q28" s="2">
        <f t="shared" si="11"/>
        <v>48.571428571428569</v>
      </c>
      <c r="R28" s="2">
        <f t="shared" si="12"/>
        <v>48.571428571428569</v>
      </c>
      <c r="S28" s="2">
        <f t="shared" si="13"/>
        <v>48.571428571428569</v>
      </c>
      <c r="T28" s="2">
        <f t="shared" si="14"/>
        <v>48.571428571428569</v>
      </c>
      <c r="U28" s="2">
        <f t="shared" si="15"/>
        <v>48.571428571428569</v>
      </c>
      <c r="V28" s="2">
        <f t="shared" si="17"/>
        <v>48.571428571428569</v>
      </c>
      <c r="W28" s="2">
        <f t="shared" si="18"/>
        <v>48.571428571428569</v>
      </c>
      <c r="X28" s="2">
        <f>$AH$3</f>
        <v>48.571428571428569</v>
      </c>
      <c r="Y28" s="2">
        <f>$AH$3</f>
        <v>48.571428571428569</v>
      </c>
      <c r="Z28" s="2">
        <f>$AH$3</f>
        <v>48.571428571428569</v>
      </c>
      <c r="AA28" s="2">
        <v>0</v>
      </c>
    </row>
    <row r="29" spans="1:31" x14ac:dyDescent="0.25">
      <c r="A29">
        <v>79</v>
      </c>
      <c r="B29" s="7" t="s">
        <v>59</v>
      </c>
      <c r="C29" s="2">
        <f t="shared" si="16"/>
        <v>48.571428571428569</v>
      </c>
      <c r="D29" s="2">
        <f t="shared" si="16"/>
        <v>48.571428571428569</v>
      </c>
      <c r="E29" s="2">
        <f t="shared" si="16"/>
        <v>48.571428571428569</v>
      </c>
      <c r="F29" s="2">
        <f t="shared" si="16"/>
        <v>48.571428571428569</v>
      </c>
      <c r="G29" s="2">
        <f t="shared" si="16"/>
        <v>48.571428571428569</v>
      </c>
      <c r="H29" s="2">
        <f t="shared" si="16"/>
        <v>48.571428571428569</v>
      </c>
      <c r="I29" s="2">
        <f t="shared" si="4"/>
        <v>557.14285714285711</v>
      </c>
      <c r="J29" s="2">
        <f t="shared" si="5"/>
        <v>48.571428571428569</v>
      </c>
      <c r="K29" s="2">
        <f t="shared" si="5"/>
        <v>48.571428571428569</v>
      </c>
      <c r="L29" s="2">
        <f t="shared" si="6"/>
        <v>307.14285714285717</v>
      </c>
      <c r="M29" s="2">
        <f t="shared" si="7"/>
        <v>48.571428571428569</v>
      </c>
      <c r="N29" s="2">
        <f t="shared" si="8"/>
        <v>48.571428571428569</v>
      </c>
      <c r="O29" s="2">
        <f t="shared" si="9"/>
        <v>48.571428571428569</v>
      </c>
      <c r="P29" s="2">
        <f t="shared" si="10"/>
        <v>48.571428571428569</v>
      </c>
      <c r="Q29" s="2">
        <f t="shared" si="11"/>
        <v>48.571428571428569</v>
      </c>
      <c r="R29" s="2">
        <f t="shared" si="12"/>
        <v>48.571428571428569</v>
      </c>
      <c r="S29" s="2">
        <f t="shared" si="13"/>
        <v>48.571428571428569</v>
      </c>
      <c r="T29" s="2">
        <f t="shared" si="14"/>
        <v>48.571428571428569</v>
      </c>
      <c r="U29" s="2">
        <f t="shared" si="15"/>
        <v>48.571428571428569</v>
      </c>
      <c r="V29" s="2">
        <f t="shared" si="17"/>
        <v>48.571428571428569</v>
      </c>
      <c r="W29" s="2">
        <f t="shared" si="18"/>
        <v>48.571428571428569</v>
      </c>
      <c r="X29" s="2">
        <f>$AH$3</f>
        <v>48.571428571428569</v>
      </c>
      <c r="Y29" s="2">
        <f>$AH$3</f>
        <v>48.571428571428569</v>
      </c>
      <c r="Z29" s="2">
        <f>$AH$3</f>
        <v>48.571428571428569</v>
      </c>
      <c r="AA29" s="2">
        <f>$AH$3</f>
        <v>48.571428571428569</v>
      </c>
      <c r="AB29" s="2">
        <v>0</v>
      </c>
    </row>
    <row r="30" spans="1:31" x14ac:dyDescent="0.25">
      <c r="A30">
        <v>81</v>
      </c>
      <c r="B30" s="7" t="s">
        <v>60</v>
      </c>
      <c r="C30" s="2">
        <f t="shared" si="16"/>
        <v>48.571428571428569</v>
      </c>
      <c r="D30" s="2">
        <f t="shared" si="16"/>
        <v>48.571428571428569</v>
      </c>
      <c r="E30" s="2">
        <f t="shared" si="16"/>
        <v>48.571428571428569</v>
      </c>
      <c r="F30" s="2">
        <f t="shared" si="16"/>
        <v>48.571428571428569</v>
      </c>
      <c r="G30" s="2">
        <f t="shared" si="16"/>
        <v>48.571428571428569</v>
      </c>
      <c r="H30" s="2">
        <f t="shared" si="16"/>
        <v>48.571428571428569</v>
      </c>
      <c r="I30" s="2">
        <f t="shared" si="4"/>
        <v>557.14285714285711</v>
      </c>
      <c r="J30" s="2">
        <f t="shared" si="5"/>
        <v>48.571428571428569</v>
      </c>
      <c r="K30" s="2">
        <f t="shared" si="5"/>
        <v>48.571428571428569</v>
      </c>
      <c r="L30" s="2">
        <f t="shared" si="6"/>
        <v>307.14285714285717</v>
      </c>
      <c r="M30" s="2">
        <f t="shared" si="7"/>
        <v>48.571428571428569</v>
      </c>
      <c r="N30" s="2">
        <f t="shared" si="8"/>
        <v>48.571428571428569</v>
      </c>
      <c r="O30" s="2">
        <f t="shared" si="9"/>
        <v>48.571428571428569</v>
      </c>
      <c r="P30" s="2">
        <f t="shared" si="10"/>
        <v>48.571428571428569</v>
      </c>
      <c r="Q30" s="2">
        <f t="shared" si="11"/>
        <v>48.571428571428569</v>
      </c>
      <c r="R30" s="2">
        <f t="shared" si="12"/>
        <v>48.571428571428569</v>
      </c>
      <c r="S30" s="2">
        <f t="shared" si="13"/>
        <v>48.571428571428569</v>
      </c>
      <c r="T30" s="2">
        <f t="shared" si="14"/>
        <v>48.571428571428569</v>
      </c>
      <c r="U30" s="2">
        <f t="shared" si="15"/>
        <v>48.571428571428569</v>
      </c>
      <c r="V30" s="2">
        <f t="shared" si="17"/>
        <v>48.571428571428569</v>
      </c>
      <c r="W30" s="2">
        <f t="shared" si="18"/>
        <v>48.571428571428569</v>
      </c>
      <c r="X30" s="2">
        <f>$AH$3</f>
        <v>48.571428571428569</v>
      </c>
      <c r="Y30" s="2">
        <f>$AH$3</f>
        <v>48.571428571428569</v>
      </c>
      <c r="Z30" s="2">
        <f>$AH$3</f>
        <v>48.571428571428569</v>
      </c>
      <c r="AA30" s="2">
        <f>$AH$3</f>
        <v>48.571428571428569</v>
      </c>
      <c r="AB30" s="2">
        <f>$AH$3</f>
        <v>48.571428571428569</v>
      </c>
      <c r="AC30" s="2">
        <v>0</v>
      </c>
    </row>
    <row r="31" spans="1:31" x14ac:dyDescent="0.25">
      <c r="A31">
        <v>85</v>
      </c>
      <c r="B31" s="7" t="s">
        <v>61</v>
      </c>
      <c r="C31" s="2">
        <f t="shared" ref="C31:H31" si="19">(25000+500*10)/350</f>
        <v>85.714285714285708</v>
      </c>
      <c r="D31" s="2">
        <f t="shared" si="19"/>
        <v>85.714285714285708</v>
      </c>
      <c r="E31" s="2">
        <f t="shared" si="19"/>
        <v>85.714285714285708</v>
      </c>
      <c r="F31" s="2">
        <f t="shared" si="19"/>
        <v>85.714285714285708</v>
      </c>
      <c r="G31" s="2">
        <f t="shared" si="19"/>
        <v>85.714285714285708</v>
      </c>
      <c r="H31" s="2">
        <f t="shared" si="19"/>
        <v>85.714285714285708</v>
      </c>
      <c r="I31" s="2">
        <f>(25000+500*288)/350</f>
        <v>482.85714285714283</v>
      </c>
      <c r="J31" s="2">
        <f>(25000+500*10)/350</f>
        <v>85.714285714285708</v>
      </c>
      <c r="K31" s="2">
        <f>(25000+500*10)/350</f>
        <v>85.714285714285708</v>
      </c>
      <c r="L31" s="2">
        <f>(25000+500*215)/350</f>
        <v>378.57142857142856</v>
      </c>
      <c r="M31" s="2">
        <f t="shared" ref="M31:AC31" si="20">(25000+500*10)/350</f>
        <v>85.714285714285708</v>
      </c>
      <c r="N31" s="2">
        <f t="shared" si="20"/>
        <v>85.714285714285708</v>
      </c>
      <c r="O31" s="2">
        <f t="shared" si="20"/>
        <v>85.714285714285708</v>
      </c>
      <c r="P31" s="2">
        <f t="shared" si="20"/>
        <v>85.714285714285708</v>
      </c>
      <c r="Q31" s="2">
        <f t="shared" si="20"/>
        <v>85.714285714285708</v>
      </c>
      <c r="R31" s="2">
        <f t="shared" si="20"/>
        <v>85.714285714285708</v>
      </c>
      <c r="S31" s="2">
        <f t="shared" si="20"/>
        <v>85.714285714285708</v>
      </c>
      <c r="T31" s="2">
        <f t="shared" si="20"/>
        <v>85.714285714285708</v>
      </c>
      <c r="U31" s="2">
        <f t="shared" si="20"/>
        <v>85.714285714285708</v>
      </c>
      <c r="V31" s="2">
        <f t="shared" si="20"/>
        <v>85.714285714285708</v>
      </c>
      <c r="W31" s="2">
        <f t="shared" si="20"/>
        <v>85.714285714285708</v>
      </c>
      <c r="X31" s="2">
        <f t="shared" si="20"/>
        <v>85.714285714285708</v>
      </c>
      <c r="Y31" s="2">
        <f t="shared" si="20"/>
        <v>85.714285714285708</v>
      </c>
      <c r="Z31" s="2">
        <f t="shared" si="20"/>
        <v>85.714285714285708</v>
      </c>
      <c r="AA31" s="2">
        <f t="shared" si="20"/>
        <v>85.714285714285708</v>
      </c>
      <c r="AB31" s="2">
        <f t="shared" si="20"/>
        <v>85.714285714285708</v>
      </c>
      <c r="AC31" s="2">
        <f t="shared" si="20"/>
        <v>85.714285714285708</v>
      </c>
      <c r="AD31" s="2">
        <v>0</v>
      </c>
    </row>
    <row r="32" spans="1:31" x14ac:dyDescent="0.25">
      <c r="A32">
        <v>87</v>
      </c>
      <c r="B32" s="7" t="s">
        <v>62</v>
      </c>
      <c r="C32" s="2">
        <f t="shared" ref="C32:H32" si="21">(25000+500*55)/350</f>
        <v>150</v>
      </c>
      <c r="D32" s="2">
        <f t="shared" si="21"/>
        <v>150</v>
      </c>
      <c r="E32" s="2">
        <f t="shared" si="21"/>
        <v>150</v>
      </c>
      <c r="F32" s="2">
        <f t="shared" si="21"/>
        <v>150</v>
      </c>
      <c r="G32" s="2">
        <f t="shared" si="21"/>
        <v>150</v>
      </c>
      <c r="H32" s="2">
        <f t="shared" si="21"/>
        <v>150</v>
      </c>
      <c r="I32" s="2">
        <f>(25000+500*290)/350</f>
        <v>485.71428571428572</v>
      </c>
      <c r="J32" s="2">
        <f>(25000+500*55)/350</f>
        <v>150</v>
      </c>
      <c r="K32" s="2">
        <f>(25000+500*55)/350</f>
        <v>150</v>
      </c>
      <c r="L32" s="2">
        <f>(25000+500*210)/350</f>
        <v>371.42857142857144</v>
      </c>
      <c r="M32" s="2">
        <f t="shared" ref="M32:AD32" si="22">(25000+500*55)/350</f>
        <v>150</v>
      </c>
      <c r="N32" s="2">
        <f t="shared" si="22"/>
        <v>150</v>
      </c>
      <c r="O32" s="2">
        <f t="shared" si="22"/>
        <v>150</v>
      </c>
      <c r="P32" s="2">
        <f t="shared" si="22"/>
        <v>150</v>
      </c>
      <c r="Q32" s="2">
        <f t="shared" si="22"/>
        <v>150</v>
      </c>
      <c r="R32" s="2">
        <f t="shared" si="22"/>
        <v>150</v>
      </c>
      <c r="S32" s="2">
        <f t="shared" si="22"/>
        <v>150</v>
      </c>
      <c r="T32" s="2">
        <f t="shared" si="22"/>
        <v>150</v>
      </c>
      <c r="U32" s="2">
        <f t="shared" si="22"/>
        <v>150</v>
      </c>
      <c r="V32" s="2">
        <f t="shared" si="22"/>
        <v>150</v>
      </c>
      <c r="W32" s="2">
        <f t="shared" si="22"/>
        <v>150</v>
      </c>
      <c r="X32" s="2">
        <f t="shared" si="22"/>
        <v>150</v>
      </c>
      <c r="Y32" s="2">
        <f t="shared" si="22"/>
        <v>150</v>
      </c>
      <c r="Z32" s="2">
        <f t="shared" si="22"/>
        <v>150</v>
      </c>
      <c r="AA32" s="2">
        <f t="shared" si="22"/>
        <v>150</v>
      </c>
      <c r="AB32" s="2">
        <f t="shared" si="22"/>
        <v>150</v>
      </c>
      <c r="AC32" s="2">
        <f t="shared" si="22"/>
        <v>150</v>
      </c>
      <c r="AD32" s="2">
        <f t="shared" si="22"/>
        <v>150</v>
      </c>
      <c r="AE32" s="2">
        <v>0</v>
      </c>
    </row>
    <row r="33" spans="2:32" x14ac:dyDescent="0.25">
      <c r="B33" s="7" t="s">
        <v>33</v>
      </c>
      <c r="C33" s="2">
        <f>$AH$3</f>
        <v>48.571428571428569</v>
      </c>
      <c r="D33" s="2">
        <f t="shared" ref="D33:AE33" si="23">$AH$3</f>
        <v>48.571428571428569</v>
      </c>
      <c r="E33" s="2">
        <f t="shared" si="23"/>
        <v>48.571428571428569</v>
      </c>
      <c r="F33" s="2">
        <f t="shared" si="23"/>
        <v>48.571428571428569</v>
      </c>
      <c r="G33" s="2">
        <f t="shared" si="23"/>
        <v>48.571428571428569</v>
      </c>
      <c r="H33" s="2">
        <f t="shared" si="23"/>
        <v>48.571428571428569</v>
      </c>
      <c r="I33" s="2">
        <f t="shared" si="4"/>
        <v>557.14285714285711</v>
      </c>
      <c r="J33" s="2">
        <f t="shared" si="23"/>
        <v>48.571428571428569</v>
      </c>
      <c r="K33" s="2">
        <f t="shared" si="23"/>
        <v>48.571428571428569</v>
      </c>
      <c r="L33" s="2">
        <f t="shared" si="6"/>
        <v>307.14285714285717</v>
      </c>
      <c r="M33" s="2">
        <f t="shared" si="23"/>
        <v>48.571428571428569</v>
      </c>
      <c r="N33" s="2">
        <f t="shared" si="23"/>
        <v>48.571428571428569</v>
      </c>
      <c r="O33" s="2">
        <f t="shared" si="23"/>
        <v>48.571428571428569</v>
      </c>
      <c r="P33" s="2">
        <f t="shared" si="23"/>
        <v>48.571428571428569</v>
      </c>
      <c r="Q33" s="2">
        <f t="shared" si="23"/>
        <v>48.571428571428569</v>
      </c>
      <c r="R33" s="2">
        <f t="shared" si="23"/>
        <v>48.571428571428569</v>
      </c>
      <c r="S33" s="2">
        <f t="shared" si="23"/>
        <v>48.571428571428569</v>
      </c>
      <c r="T33" s="2">
        <f t="shared" si="23"/>
        <v>48.571428571428569</v>
      </c>
      <c r="U33" s="2">
        <f t="shared" si="23"/>
        <v>48.571428571428569</v>
      </c>
      <c r="V33" s="2">
        <f t="shared" si="23"/>
        <v>48.571428571428569</v>
      </c>
      <c r="W33" s="2">
        <f t="shared" si="23"/>
        <v>48.571428571428569</v>
      </c>
      <c r="X33" s="2">
        <f t="shared" si="23"/>
        <v>48.571428571428569</v>
      </c>
      <c r="Y33" s="2">
        <f t="shared" si="23"/>
        <v>48.571428571428569</v>
      </c>
      <c r="Z33" s="2">
        <f t="shared" si="23"/>
        <v>48.571428571428569</v>
      </c>
      <c r="AA33" s="2">
        <f t="shared" si="23"/>
        <v>48.571428571428569</v>
      </c>
      <c r="AB33" s="2">
        <f t="shared" si="23"/>
        <v>48.571428571428569</v>
      </c>
      <c r="AC33" s="2">
        <f t="shared" si="23"/>
        <v>48.571428571428569</v>
      </c>
      <c r="AD33" s="2">
        <f t="shared" si="23"/>
        <v>48.571428571428569</v>
      </c>
      <c r="AE33" s="2">
        <f t="shared" si="23"/>
        <v>48.571428571428569</v>
      </c>
      <c r="AF33">
        <v>0</v>
      </c>
    </row>
    <row r="34" spans="2:32" x14ac:dyDescent="0.25">
      <c r="B34" s="7"/>
    </row>
  </sheetData>
  <autoFilter ref="A3:B32" xr:uid="{327444E1-5C6C-4229-BEBA-89835F8D4A39}">
    <sortState xmlns:xlrd2="http://schemas.microsoft.com/office/spreadsheetml/2017/richdata2" ref="A4:B32">
      <sortCondition ref="A3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Guenole DZANGUE SONNA</dc:creator>
  <cp:lastModifiedBy>Francinekamgo@gmail.com</cp:lastModifiedBy>
  <dcterms:created xsi:type="dcterms:W3CDTF">2025-11-09T01:13:35Z</dcterms:created>
  <dcterms:modified xsi:type="dcterms:W3CDTF">2025-11-09T13:12:57Z</dcterms:modified>
</cp:coreProperties>
</file>
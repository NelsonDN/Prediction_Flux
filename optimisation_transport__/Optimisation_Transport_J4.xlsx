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 entree" sheetId="1" state="visible" r:id="rId1"/>
    <sheet xmlns:r="http://schemas.openxmlformats.org/officeDocument/2006/relationships" name="Donnees entree fixee" sheetId="2" state="visible" r:id="rId2"/>
    <sheet xmlns:r="http://schemas.openxmlformats.org/officeDocument/2006/relationships" name="Optimisation transport" sheetId="3" state="visible" r:id="rId3"/>
    <sheet xmlns:r="http://schemas.openxmlformats.org/officeDocument/2006/relationships" name="Matrice couts unitai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4F8"/>
        <bgColor rgb="00E8F4F8"/>
      </patternFill>
    </fill>
    <fill>
      <patternFill patternType="solid">
        <fgColor rgb="00D3D3D3"/>
        <bgColor rgb="00D3D3D3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Code Agence</t>
        </is>
      </c>
      <c r="C1" s="1" t="inlineStr">
        <is>
          <t>Solde Caisse veille</t>
        </is>
      </c>
      <c r="D1" s="1" t="inlineStr">
        <is>
          <t>Besoin en liquidite</t>
        </is>
      </c>
      <c r="E1" s="1" t="inlineStr">
        <is>
          <t>Score de precision</t>
        </is>
      </c>
      <c r="F1" s="1" t="inlineStr">
        <is>
          <t>Stock minimum</t>
        </is>
      </c>
      <c r="G1" s="1" t="inlineStr">
        <is>
          <t>Stock de securite</t>
        </is>
      </c>
      <c r="H1" s="1" t="inlineStr">
        <is>
          <t>Flux transport optimal</t>
        </is>
      </c>
      <c r="I1" s="1" t="inlineStr">
        <is>
          <t>Type de flux</t>
        </is>
      </c>
      <c r="J1" s="1" t="inlineStr">
        <is>
          <t>Solde prevue fin journee</t>
        </is>
      </c>
      <c r="K1" s="1" t="inlineStr">
        <is>
          <t>Solde reel fin journee</t>
        </is>
      </c>
      <c r="L1" s="1" t="inlineStr">
        <is>
          <t>Erreur sur la journee</t>
        </is>
      </c>
    </row>
    <row r="2">
      <c r="A2" s="2" t="inlineStr">
        <is>
          <t>2025-07-04</t>
        </is>
      </c>
      <c r="B2" s="2" t="inlineStr">
        <is>
          <t>00001</t>
        </is>
      </c>
      <c r="C2" s="3" t="n">
        <v>336.9</v>
      </c>
      <c r="D2" s="3" t="n">
        <v>-1022162840.64</v>
      </c>
      <c r="E2" s="3" t="n">
        <v>20.36</v>
      </c>
      <c r="F2" s="2" t="n">
        <v>9045.84</v>
      </c>
      <c r="G2" s="2" t="n">
        <v>10888</v>
      </c>
      <c r="H2" s="3" t="n">
        <v>-1022152289.54</v>
      </c>
      <c r="I2" s="2" t="inlineStr">
        <is>
          <t>Excedent</t>
        </is>
      </c>
    </row>
    <row r="3">
      <c r="A3" s="2" t="inlineStr">
        <is>
          <t>2025-07-04</t>
        </is>
      </c>
      <c r="B3" s="2" t="inlineStr">
        <is>
          <t>00005</t>
        </is>
      </c>
      <c r="C3" s="3" t="n">
        <v>736.3200000000001</v>
      </c>
      <c r="D3" s="3" t="n">
        <v>28100659</v>
      </c>
      <c r="E3" s="3" t="n">
        <v>76.42</v>
      </c>
      <c r="F3" s="2" t="n">
        <v>800.4299999999999</v>
      </c>
      <c r="G3" s="2" t="n">
        <v>1413</v>
      </c>
      <c r="H3" s="3" t="n">
        <v>28101335.68</v>
      </c>
      <c r="I3" s="2" t="inlineStr">
        <is>
          <t>Besoin</t>
        </is>
      </c>
    </row>
    <row r="4">
      <c r="A4" s="2" t="inlineStr">
        <is>
          <t>2025-07-04</t>
        </is>
      </c>
      <c r="B4" s="2" t="inlineStr">
        <is>
          <t>00010</t>
        </is>
      </c>
      <c r="C4" s="3" t="n">
        <v>985.98</v>
      </c>
      <c r="D4" s="3" t="n">
        <v>-52224199.51</v>
      </c>
      <c r="E4" s="3" t="n">
        <v>92.38</v>
      </c>
      <c r="F4" s="2" t="n">
        <v>1145.85</v>
      </c>
      <c r="G4" s="2" t="n">
        <v>2205</v>
      </c>
      <c r="H4" s="3" t="n">
        <v>-52222980.49</v>
      </c>
      <c r="I4" s="2" t="inlineStr">
        <is>
          <t>Excedent</t>
        </is>
      </c>
    </row>
    <row r="5">
      <c r="A5" s="2" t="inlineStr">
        <is>
          <t>2025-07-04</t>
        </is>
      </c>
      <c r="B5" s="2" t="inlineStr">
        <is>
          <t>00021</t>
        </is>
      </c>
      <c r="C5" s="3" t="n">
        <v>479.94</v>
      </c>
      <c r="D5" s="3" t="n">
        <v>203427275.49</v>
      </c>
      <c r="E5" s="3" t="n">
        <v>77.87</v>
      </c>
      <c r="F5" s="2" t="n">
        <v>887.1900000000001</v>
      </c>
      <c r="G5" s="2" t="n">
        <v>1579</v>
      </c>
      <c r="H5" s="3" t="n">
        <v>203428374.55</v>
      </c>
      <c r="I5" s="2" t="inlineStr">
        <is>
          <t>Besoin</t>
        </is>
      </c>
    </row>
    <row r="6">
      <c r="A6" s="2" t="inlineStr">
        <is>
          <t>2025-07-04</t>
        </is>
      </c>
      <c r="B6" s="2" t="inlineStr">
        <is>
          <t>00024</t>
        </is>
      </c>
      <c r="C6" s="3" t="n">
        <v>350</v>
      </c>
      <c r="D6" s="3" t="n">
        <v>-28668782.25</v>
      </c>
      <c r="E6" s="3" t="n">
        <v>1047.42</v>
      </c>
      <c r="F6" s="2" t="n">
        <v>671.03</v>
      </c>
      <c r="G6" s="2" t="n">
        <v>7700</v>
      </c>
      <c r="H6" s="3" t="n">
        <v>-28661432.25</v>
      </c>
      <c r="I6" s="2" t="inlineStr">
        <is>
          <t>Excedent</t>
        </is>
      </c>
    </row>
    <row r="7">
      <c r="A7" s="2" t="inlineStr">
        <is>
          <t>2025-07-04</t>
        </is>
      </c>
      <c r="B7" s="2" t="inlineStr">
        <is>
          <t>00026</t>
        </is>
      </c>
      <c r="C7" s="3" t="n">
        <v>208.65</v>
      </c>
      <c r="D7" s="3" t="n">
        <v>59107132.38</v>
      </c>
      <c r="E7" s="3" t="n">
        <v>80.04000000000001</v>
      </c>
      <c r="F7" s="2" t="n">
        <v>750</v>
      </c>
      <c r="G7" s="2" t="n">
        <v>1351</v>
      </c>
      <c r="H7" s="3" t="n">
        <v>59108274.73</v>
      </c>
      <c r="I7" s="2" t="inlineStr">
        <is>
          <t>Besoin</t>
        </is>
      </c>
    </row>
    <row r="8">
      <c r="A8" s="2" t="inlineStr">
        <is>
          <t>2025-07-04</t>
        </is>
      </c>
      <c r="B8" s="2" t="inlineStr">
        <is>
          <t>00031</t>
        </is>
      </c>
      <c r="C8" s="3" t="n">
        <v>669.34</v>
      </c>
      <c r="D8" s="3" t="n">
        <v>-321887621.9</v>
      </c>
      <c r="E8" s="3" t="n">
        <v>68.47</v>
      </c>
      <c r="F8" s="2" t="n">
        <v>2629.35</v>
      </c>
      <c r="G8" s="2" t="n">
        <v>4430</v>
      </c>
      <c r="H8" s="3" t="n">
        <v>-321883861.24</v>
      </c>
      <c r="I8" s="2" t="inlineStr">
        <is>
          <t>Excedent</t>
        </is>
      </c>
    </row>
    <row r="9">
      <c r="A9" s="2" t="inlineStr">
        <is>
          <t>2025-07-04</t>
        </is>
      </c>
      <c r="B9" s="2" t="inlineStr">
        <is>
          <t>00033</t>
        </is>
      </c>
      <c r="C9" s="3" t="n">
        <v>805.05</v>
      </c>
      <c r="D9" s="3" t="n">
        <v>-31941486.17</v>
      </c>
      <c r="E9" s="3" t="n">
        <v>62.87</v>
      </c>
      <c r="F9" s="2" t="n">
        <v>607.36</v>
      </c>
      <c r="G9" s="2" t="n">
        <v>990</v>
      </c>
      <c r="H9" s="3" t="n">
        <v>-31941301.22</v>
      </c>
      <c r="I9" s="2" t="inlineStr">
        <is>
          <t>Excedent</t>
        </is>
      </c>
    </row>
    <row r="10">
      <c r="A10" s="2" t="inlineStr">
        <is>
          <t>2025-07-04</t>
        </is>
      </c>
      <c r="B10" s="2" t="inlineStr">
        <is>
          <t>00034</t>
        </is>
      </c>
      <c r="C10" s="3" t="n">
        <v>365.76</v>
      </c>
      <c r="D10" s="3" t="n">
        <v>-3445234.2</v>
      </c>
      <c r="E10" s="3" t="n">
        <v>87.94</v>
      </c>
      <c r="F10" s="2" t="n">
        <v>581.26</v>
      </c>
      <c r="G10" s="2" t="n">
        <v>1093</v>
      </c>
      <c r="H10" s="3" t="n">
        <v>-3444506.96</v>
      </c>
      <c r="I10" s="2" t="inlineStr">
        <is>
          <t>Excedent</t>
        </is>
      </c>
    </row>
    <row r="11">
      <c r="A11" s="2" t="inlineStr">
        <is>
          <t>2025-07-04</t>
        </is>
      </c>
      <c r="B11" s="2" t="inlineStr">
        <is>
          <t>00037</t>
        </is>
      </c>
      <c r="C11" s="3" t="n">
        <v>53.65</v>
      </c>
      <c r="D11" s="3" t="n">
        <v>42828197.74</v>
      </c>
      <c r="E11" s="3" t="n">
        <v>62.63</v>
      </c>
      <c r="F11" s="2" t="n">
        <v>1126.39</v>
      </c>
      <c r="G11" s="2" t="n">
        <v>1832</v>
      </c>
      <c r="H11" s="3" t="n">
        <v>42829976.09</v>
      </c>
      <c r="I11" s="2" t="inlineStr">
        <is>
          <t>Besoin</t>
        </is>
      </c>
    </row>
    <row r="12">
      <c r="A12" s="2" t="inlineStr">
        <is>
          <t>2025-07-04</t>
        </is>
      </c>
      <c r="B12" s="2" t="inlineStr">
        <is>
          <t>00038</t>
        </is>
      </c>
      <c r="C12" s="3" t="n">
        <v>287.07</v>
      </c>
      <c r="D12" s="3" t="n">
        <v>4461811.29</v>
      </c>
      <c r="E12" s="3" t="n">
        <v>101.62</v>
      </c>
      <c r="F12" s="2" t="n">
        <v>609.22</v>
      </c>
      <c r="G12" s="2" t="n">
        <v>1229</v>
      </c>
      <c r="H12" s="3" t="n">
        <v>4462753.22</v>
      </c>
      <c r="I12" s="2" t="inlineStr">
        <is>
          <t>Besoin</t>
        </is>
      </c>
    </row>
    <row r="13">
      <c r="A13" s="2" t="inlineStr">
        <is>
          <t>2025-07-04</t>
        </is>
      </c>
      <c r="B13" s="2" t="inlineStr">
        <is>
          <t>00039</t>
        </is>
      </c>
      <c r="C13" s="3" t="n">
        <v>73.83</v>
      </c>
      <c r="D13" s="3" t="n">
        <v>38886999.53</v>
      </c>
      <c r="E13" s="3" t="n">
        <v>28.88</v>
      </c>
      <c r="F13" s="2" t="n">
        <v>689.11</v>
      </c>
      <c r="G13" s="2" t="n">
        <v>889</v>
      </c>
      <c r="H13" s="3" t="n">
        <v>38887814.7</v>
      </c>
      <c r="I13" s="2" t="inlineStr">
        <is>
          <t>Besoin</t>
        </is>
      </c>
    </row>
    <row r="14">
      <c r="A14" s="2" t="inlineStr">
        <is>
          <t>2025-07-04</t>
        </is>
      </c>
      <c r="B14" s="2" t="inlineStr">
        <is>
          <t>00040</t>
        </is>
      </c>
      <c r="C14" s="3" t="n">
        <v>931.01</v>
      </c>
      <c r="D14" s="3" t="n">
        <v>33536824.91</v>
      </c>
      <c r="E14" s="3" t="n">
        <v>80.05</v>
      </c>
      <c r="F14" s="2" t="n">
        <v>613.64</v>
      </c>
      <c r="G14" s="2" t="n">
        <v>1105</v>
      </c>
      <c r="H14" s="3" t="n">
        <v>33536998.9</v>
      </c>
      <c r="I14" s="2" t="inlineStr">
        <is>
          <t>Besoin</t>
        </is>
      </c>
    </row>
    <row r="15">
      <c r="A15" s="2" t="inlineStr">
        <is>
          <t>2025-07-04</t>
        </is>
      </c>
      <c r="B15" s="2" t="inlineStr">
        <is>
          <t>00042</t>
        </is>
      </c>
      <c r="C15" s="3" t="n">
        <v>617.46</v>
      </c>
      <c r="D15" s="3" t="n">
        <v>-3296212.53</v>
      </c>
      <c r="E15" s="3" t="n">
        <v>100.76</v>
      </c>
      <c r="F15" s="2" t="n">
        <v>180.71</v>
      </c>
      <c r="G15" s="2" t="n">
        <v>363</v>
      </c>
      <c r="H15" s="3" t="n">
        <v>-3296466.99</v>
      </c>
      <c r="I15" s="2" t="inlineStr">
        <is>
          <t>Excedent</t>
        </is>
      </c>
    </row>
    <row r="16">
      <c r="A16" s="2" t="inlineStr">
        <is>
          <t>2025-07-04</t>
        </is>
      </c>
      <c r="B16" s="2" t="inlineStr">
        <is>
          <t>00043</t>
        </is>
      </c>
      <c r="C16" s="3" t="n">
        <v>904.37</v>
      </c>
      <c r="D16" s="3" t="n">
        <v>3509395.53</v>
      </c>
      <c r="E16" s="3" t="n">
        <v>124.02</v>
      </c>
      <c r="F16" s="2" t="n">
        <v>648.2</v>
      </c>
      <c r="G16" s="2" t="n">
        <v>1453</v>
      </c>
      <c r="H16" s="3" t="n">
        <v>3509944.16</v>
      </c>
      <c r="I16" s="2" t="inlineStr">
        <is>
          <t>Besoin</t>
        </is>
      </c>
    </row>
    <row r="17">
      <c r="A17" s="2" t="inlineStr">
        <is>
          <t>2025-07-04</t>
        </is>
      </c>
      <c r="B17" s="2" t="inlineStr">
        <is>
          <t>00045</t>
        </is>
      </c>
      <c r="C17" s="3" t="n">
        <v>198.74</v>
      </c>
      <c r="D17" s="3" t="n">
        <v>-43005332.27</v>
      </c>
      <c r="E17" s="3" t="n">
        <v>1584.48</v>
      </c>
      <c r="F17" s="2" t="n">
        <v>788.26</v>
      </c>
      <c r="G17" s="2" t="n">
        <v>13279</v>
      </c>
      <c r="H17" s="3" t="n">
        <v>-42992252.01</v>
      </c>
      <c r="I17" s="2" t="inlineStr">
        <is>
          <t>Excedent</t>
        </is>
      </c>
    </row>
    <row r="18">
      <c r="A18" s="2" t="inlineStr">
        <is>
          <t>2025-07-04</t>
        </is>
      </c>
      <c r="B18" s="2" t="inlineStr">
        <is>
          <t>00046</t>
        </is>
      </c>
      <c r="C18" s="3" t="n">
        <v>570.54</v>
      </c>
      <c r="D18" s="3" t="n">
        <v>130219442.16</v>
      </c>
      <c r="E18" s="3" t="n">
        <v>72.01000000000001</v>
      </c>
      <c r="F18" s="2" t="n">
        <v>823.27</v>
      </c>
      <c r="G18" s="2" t="n">
        <v>1417</v>
      </c>
      <c r="H18" s="3" t="n">
        <v>130220288.62</v>
      </c>
      <c r="I18" s="2" t="inlineStr">
        <is>
          <t>Besoin</t>
        </is>
      </c>
    </row>
    <row r="19">
      <c r="A19" s="2" t="inlineStr">
        <is>
          <t>2025-07-04</t>
        </is>
      </c>
      <c r="B19" s="2" t="inlineStr">
        <is>
          <t>00055</t>
        </is>
      </c>
      <c r="C19" s="3" t="n">
        <v>487.25</v>
      </c>
      <c r="D19" s="3" t="n">
        <v>47596204</v>
      </c>
      <c r="E19" s="3" t="n">
        <v>301.54</v>
      </c>
      <c r="F19" s="2" t="n">
        <v>575.03</v>
      </c>
      <c r="G19" s="2" t="n">
        <v>2309</v>
      </c>
      <c r="H19" s="3" t="n">
        <v>47598025.75</v>
      </c>
      <c r="I19" s="2" t="inlineStr">
        <is>
          <t>Besoin</t>
        </is>
      </c>
    </row>
    <row r="20">
      <c r="A20" s="2" t="inlineStr">
        <is>
          <t>2025-07-04</t>
        </is>
      </c>
      <c r="B20" s="2" t="inlineStr">
        <is>
          <t>00056</t>
        </is>
      </c>
      <c r="C20" s="3" t="n">
        <v>172.07</v>
      </c>
      <c r="D20" s="3" t="n">
        <v>-38335238.58</v>
      </c>
      <c r="E20" s="3" t="n">
        <v>74.20999999999999</v>
      </c>
      <c r="F20" s="2" t="n">
        <v>438.86</v>
      </c>
      <c r="G20" s="2" t="n">
        <v>765</v>
      </c>
      <c r="H20" s="3" t="n">
        <v>-38334645.65</v>
      </c>
      <c r="I20" s="2" t="inlineStr">
        <is>
          <t>Excedent</t>
        </is>
      </c>
    </row>
    <row r="21">
      <c r="A21" s="2" t="inlineStr">
        <is>
          <t>2025-07-04</t>
        </is>
      </c>
      <c r="B21" s="2" t="inlineStr">
        <is>
          <t>00057</t>
        </is>
      </c>
      <c r="C21" s="3" t="n">
        <v>896.83</v>
      </c>
      <c r="D21" s="3" t="n">
        <v>5386555.81</v>
      </c>
      <c r="E21" s="3" t="n">
        <v>90.23</v>
      </c>
      <c r="F21" s="2" t="n">
        <v>589.85</v>
      </c>
      <c r="G21" s="2" t="n">
        <v>1123</v>
      </c>
      <c r="H21" s="3" t="n">
        <v>5386781.98</v>
      </c>
      <c r="I21" s="2" t="inlineStr">
        <is>
          <t>Besoin</t>
        </is>
      </c>
    </row>
    <row r="22">
      <c r="A22" s="2" t="inlineStr">
        <is>
          <t>2025-07-04</t>
        </is>
      </c>
      <c r="B22" s="2" t="inlineStr">
        <is>
          <t>00062</t>
        </is>
      </c>
      <c r="C22" s="3" t="n">
        <v>305.58</v>
      </c>
      <c r="D22" s="3" t="n">
        <v>7113431.01</v>
      </c>
      <c r="E22" s="3" t="n">
        <v>102.77</v>
      </c>
      <c r="F22" s="2" t="n">
        <v>543.25</v>
      </c>
      <c r="G22" s="2" t="n">
        <v>1102</v>
      </c>
      <c r="H22" s="3" t="n">
        <v>7114227.43</v>
      </c>
      <c r="I22" s="2" t="inlineStr">
        <is>
          <t>Besoin</t>
        </is>
      </c>
    </row>
    <row r="23">
      <c r="A23" s="2" t="inlineStr">
        <is>
          <t>2025-07-04</t>
        </is>
      </c>
      <c r="B23" s="2" t="inlineStr">
        <is>
          <t>00063</t>
        </is>
      </c>
      <c r="C23" s="3" t="n">
        <v>528.4299999999999</v>
      </c>
      <c r="D23" s="3" t="n">
        <v>25847559.87</v>
      </c>
      <c r="E23" s="3" t="n">
        <v>212.3</v>
      </c>
      <c r="F23" s="2" t="n">
        <v>510.64</v>
      </c>
      <c r="G23" s="2" t="n">
        <v>1595</v>
      </c>
      <c r="H23" s="3" t="n">
        <v>25848626.44</v>
      </c>
      <c r="I23" s="2" t="inlineStr">
        <is>
          <t>Besoin</t>
        </is>
      </c>
    </row>
    <row r="24">
      <c r="A24" s="2" t="inlineStr">
        <is>
          <t>2025-07-04</t>
        </is>
      </c>
      <c r="B24" s="2" t="inlineStr">
        <is>
          <t>00064</t>
        </is>
      </c>
      <c r="C24" s="3" t="n">
        <v>375.77</v>
      </c>
      <c r="D24" s="3" t="n">
        <v>38509650.55</v>
      </c>
      <c r="E24" s="3" t="n">
        <v>53.22</v>
      </c>
      <c r="F24" s="2" t="n">
        <v>584.74</v>
      </c>
      <c r="G24" s="2" t="n">
        <v>896</v>
      </c>
      <c r="H24" s="3" t="n">
        <v>38510170.78</v>
      </c>
      <c r="I24" s="2" t="inlineStr">
        <is>
          <t>Besoin</t>
        </is>
      </c>
    </row>
    <row r="25">
      <c r="A25" s="2" t="inlineStr">
        <is>
          <t>2025-07-04</t>
        </is>
      </c>
      <c r="B25" s="2" t="inlineStr">
        <is>
          <t>00073</t>
        </is>
      </c>
      <c r="C25" s="3" t="n">
        <v>56.34</v>
      </c>
      <c r="D25" s="3" t="n">
        <v>24199333.94</v>
      </c>
      <c r="E25" s="3" t="n">
        <v>393.88</v>
      </c>
      <c r="F25" s="2" t="n">
        <v>564.76</v>
      </c>
      <c r="G25" s="2" t="n">
        <v>2790</v>
      </c>
      <c r="H25" s="3" t="n">
        <v>24202067.6</v>
      </c>
      <c r="I25" s="2" t="inlineStr">
        <is>
          <t>Besoin</t>
        </is>
      </c>
    </row>
    <row r="26">
      <c r="A26" s="2" t="inlineStr">
        <is>
          <t>2025-07-04</t>
        </is>
      </c>
      <c r="B26" s="2" t="inlineStr">
        <is>
          <t>00075</t>
        </is>
      </c>
      <c r="C26" s="3" t="n">
        <v>979.5</v>
      </c>
      <c r="D26" s="3" t="n">
        <v>11651269.16</v>
      </c>
      <c r="E26" s="3" t="n">
        <v>177.71</v>
      </c>
      <c r="F26" s="2" t="n">
        <v>564.24</v>
      </c>
      <c r="G26" s="2" t="n">
        <v>1567</v>
      </c>
      <c r="H26" s="3" t="n">
        <v>11651856.66</v>
      </c>
      <c r="I26" s="2" t="inlineStr">
        <is>
          <t>Besoin</t>
        </is>
      </c>
    </row>
    <row r="27">
      <c r="A27" s="2" t="inlineStr">
        <is>
          <t>2025-07-04</t>
        </is>
      </c>
      <c r="B27" s="2" t="inlineStr">
        <is>
          <t>00079</t>
        </is>
      </c>
      <c r="C27" s="3" t="n">
        <v>708.55</v>
      </c>
      <c r="D27" s="3" t="n">
        <v>104527251.12</v>
      </c>
      <c r="E27" s="3" t="n">
        <v>149.86</v>
      </c>
      <c r="F27" s="2" t="n">
        <v>544.76</v>
      </c>
      <c r="G27" s="2" t="n">
        <v>1362</v>
      </c>
      <c r="H27" s="3" t="n">
        <v>104527904.57</v>
      </c>
      <c r="I27" s="2" t="inlineStr">
        <is>
          <t>Besoin</t>
        </is>
      </c>
    </row>
    <row r="28">
      <c r="A28" s="2" t="inlineStr">
        <is>
          <t>2025-07-04</t>
        </is>
      </c>
      <c r="B28" s="2" t="inlineStr">
        <is>
          <t>00081</t>
        </is>
      </c>
      <c r="C28" s="3" t="n">
        <v>769.11</v>
      </c>
      <c r="D28" s="3" t="n">
        <v>29099305.76</v>
      </c>
      <c r="E28" s="3" t="n">
        <v>237.59</v>
      </c>
      <c r="F28" s="2" t="n">
        <v>547.24</v>
      </c>
      <c r="G28" s="2" t="n">
        <v>1848</v>
      </c>
      <c r="H28" s="3" t="n">
        <v>29100384.65</v>
      </c>
      <c r="I28" s="2" t="inlineStr">
        <is>
          <t>Besoin</t>
        </is>
      </c>
    </row>
    <row r="29">
      <c r="A29" s="2" t="inlineStr">
        <is>
          <t>2025-07-04</t>
        </is>
      </c>
      <c r="B29" s="2" t="inlineStr">
        <is>
          <t>00085</t>
        </is>
      </c>
      <c r="C29" s="3" t="n">
        <v>6.39</v>
      </c>
      <c r="D29" s="3" t="n">
        <v>-1069626.38</v>
      </c>
      <c r="E29" s="3" t="n">
        <v>108.89</v>
      </c>
      <c r="F29" s="2" t="n">
        <v>327.58</v>
      </c>
      <c r="G29" s="2" t="n">
        <v>685</v>
      </c>
      <c r="H29" s="3" t="n">
        <v>-1068947.77</v>
      </c>
      <c r="I29" s="2" t="inlineStr">
        <is>
          <t>Excedent</t>
        </is>
      </c>
    </row>
    <row r="30">
      <c r="A30" s="2" t="inlineStr">
        <is>
          <t>2025-07-04</t>
        </is>
      </c>
      <c r="B30" s="2" t="inlineStr">
        <is>
          <t>00087</t>
        </is>
      </c>
      <c r="C30" s="3" t="n">
        <v>192.66</v>
      </c>
      <c r="D30" s="3" t="n">
        <v>-1792224.75</v>
      </c>
      <c r="E30" s="3" t="n">
        <v>106.18</v>
      </c>
      <c r="F30" s="2" t="n">
        <v>531.87</v>
      </c>
      <c r="G30" s="2" t="n">
        <v>1097</v>
      </c>
      <c r="H30" s="3" t="n">
        <v>-1791320.41</v>
      </c>
      <c r="I30" s="2" t="inlineStr">
        <is>
          <t>Excedent</t>
        </is>
      </c>
    </row>
    <row r="31">
      <c r="A31" s="2" t="inlineStr">
        <is>
          <t>2025-07-04</t>
        </is>
      </c>
      <c r="B31" s="4" t="inlineStr">
        <is>
          <t>BEAC</t>
        </is>
      </c>
      <c r="C31" s="2" t="n"/>
      <c r="D31" s="2" t="n"/>
      <c r="E31" s="2" t="n"/>
      <c r="F31" s="2" t="n"/>
      <c r="G31" s="2" t="n"/>
      <c r="H31" s="5">
        <f>-SUM(H2:H30)</f>
        <v/>
      </c>
      <c r="I31" s="4">
        <f>IF(H31&lt;0;"Retrait BEAC";IF(H31&gt;0;"Versement BEAC";"Aucun besoin"))</f>
        <v/>
      </c>
      <c r="J31" s="2" t="n"/>
      <c r="K31" s="2" t="n"/>
      <c r="L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Code Agence</t>
        </is>
      </c>
      <c r="C1" s="1" t="inlineStr">
        <is>
          <t>Solde Caisse veille</t>
        </is>
      </c>
      <c r="D1" s="1" t="inlineStr">
        <is>
          <t>Besoin en liquidite</t>
        </is>
      </c>
      <c r="E1" s="1" t="inlineStr">
        <is>
          <t>Score de precision</t>
        </is>
      </c>
      <c r="F1" s="1" t="inlineStr">
        <is>
          <t>Stock minimum</t>
        </is>
      </c>
      <c r="G1" s="1" t="inlineStr">
        <is>
          <t>Stock de securite</t>
        </is>
      </c>
      <c r="H1" s="1" t="inlineStr">
        <is>
          <t>Flux transport optimal</t>
        </is>
      </c>
      <c r="I1" s="1" t="inlineStr">
        <is>
          <t>Type de flux</t>
        </is>
      </c>
      <c r="J1" s="1" t="inlineStr">
        <is>
          <t>Solde prevue fin journee</t>
        </is>
      </c>
      <c r="K1" s="1" t="inlineStr">
        <is>
          <t>Solde reel fin journee</t>
        </is>
      </c>
      <c r="L1" s="1" t="inlineStr">
        <is>
          <t>Erreur sur la journee</t>
        </is>
      </c>
    </row>
    <row r="2">
      <c r="A2" s="2" t="inlineStr">
        <is>
          <t>2025-07-04</t>
        </is>
      </c>
      <c r="B2" s="2" t="inlineStr">
        <is>
          <t>00001</t>
        </is>
      </c>
      <c r="C2" s="3" t="n">
        <v>336.9</v>
      </c>
      <c r="D2" s="3" t="n">
        <v>-1022162840.64</v>
      </c>
      <c r="E2" s="3" t="n">
        <v>20.36</v>
      </c>
      <c r="F2" s="2" t="n">
        <v>9045.84</v>
      </c>
      <c r="G2" s="2" t="n">
        <v>10888</v>
      </c>
      <c r="H2" s="3" t="n">
        <v>-1022152289.54</v>
      </c>
      <c r="I2" s="2" t="inlineStr">
        <is>
          <t>Excedent</t>
        </is>
      </c>
    </row>
    <row r="3">
      <c r="A3" s="2" t="inlineStr">
        <is>
          <t>2025-07-04</t>
        </is>
      </c>
      <c r="B3" s="2" t="inlineStr">
        <is>
          <t>00005</t>
        </is>
      </c>
      <c r="C3" s="3" t="n">
        <v>736.3200000000001</v>
      </c>
      <c r="D3" s="3" t="n">
        <v>28100659</v>
      </c>
      <c r="E3" s="3" t="n">
        <v>76.42</v>
      </c>
      <c r="F3" s="2" t="n">
        <v>800.4299999999999</v>
      </c>
      <c r="G3" s="2" t="n">
        <v>1413</v>
      </c>
      <c r="H3" s="3" t="n">
        <v>28101335.68</v>
      </c>
      <c r="I3" s="2" t="inlineStr">
        <is>
          <t>Besoin</t>
        </is>
      </c>
    </row>
    <row r="4">
      <c r="A4" s="2" t="inlineStr">
        <is>
          <t>2025-07-04</t>
        </is>
      </c>
      <c r="B4" s="2" t="inlineStr">
        <is>
          <t>00010</t>
        </is>
      </c>
      <c r="C4" s="3" t="n">
        <v>985.98</v>
      </c>
      <c r="D4" s="3" t="n">
        <v>-52224199.51</v>
      </c>
      <c r="E4" s="3" t="n">
        <v>92.38</v>
      </c>
      <c r="F4" s="2" t="n">
        <v>1145.85</v>
      </c>
      <c r="G4" s="2" t="n">
        <v>2205</v>
      </c>
      <c r="H4" s="3" t="n">
        <v>-52222980.49</v>
      </c>
      <c r="I4" s="2" t="inlineStr">
        <is>
          <t>Excedent</t>
        </is>
      </c>
    </row>
    <row r="5">
      <c r="A5" s="2" t="inlineStr">
        <is>
          <t>2025-07-04</t>
        </is>
      </c>
      <c r="B5" s="2" t="inlineStr">
        <is>
          <t>00021</t>
        </is>
      </c>
      <c r="C5" s="3" t="n">
        <v>479.94</v>
      </c>
      <c r="D5" s="3" t="n">
        <v>203427275.49</v>
      </c>
      <c r="E5" s="3" t="n">
        <v>77.87</v>
      </c>
      <c r="F5" s="2" t="n">
        <v>887.1900000000001</v>
      </c>
      <c r="G5" s="2" t="n">
        <v>1579</v>
      </c>
      <c r="H5" s="3" t="n">
        <v>203428374.55</v>
      </c>
      <c r="I5" s="2" t="inlineStr">
        <is>
          <t>Besoin</t>
        </is>
      </c>
    </row>
    <row r="6">
      <c r="A6" s="2" t="inlineStr">
        <is>
          <t>2025-07-04</t>
        </is>
      </c>
      <c r="B6" s="2" t="inlineStr">
        <is>
          <t>00024</t>
        </is>
      </c>
      <c r="C6" s="3" t="n">
        <v>350</v>
      </c>
      <c r="D6" s="3" t="n">
        <v>-28668782.25</v>
      </c>
      <c r="E6" s="3" t="n">
        <v>1047.42</v>
      </c>
      <c r="F6" s="2" t="n">
        <v>671.03</v>
      </c>
      <c r="G6" s="2" t="n">
        <v>7700</v>
      </c>
      <c r="H6" s="3" t="n">
        <v>-28661432.25</v>
      </c>
      <c r="I6" s="2" t="inlineStr">
        <is>
          <t>Excedent</t>
        </is>
      </c>
    </row>
    <row r="7">
      <c r="A7" s="2" t="inlineStr">
        <is>
          <t>2025-07-04</t>
        </is>
      </c>
      <c r="B7" s="2" t="inlineStr">
        <is>
          <t>00026</t>
        </is>
      </c>
      <c r="C7" s="3" t="n">
        <v>208.65</v>
      </c>
      <c r="D7" s="3" t="n">
        <v>59107132.38</v>
      </c>
      <c r="E7" s="3" t="n">
        <v>80.04000000000001</v>
      </c>
      <c r="F7" s="2" t="n">
        <v>750</v>
      </c>
      <c r="G7" s="2" t="n">
        <v>1351</v>
      </c>
      <c r="H7" s="3" t="n">
        <v>59108274.73</v>
      </c>
      <c r="I7" s="2" t="inlineStr">
        <is>
          <t>Besoin</t>
        </is>
      </c>
    </row>
    <row r="8">
      <c r="A8" s="2" t="inlineStr">
        <is>
          <t>2025-07-04</t>
        </is>
      </c>
      <c r="B8" s="2" t="inlineStr">
        <is>
          <t>00031</t>
        </is>
      </c>
      <c r="C8" s="3" t="n">
        <v>669.34</v>
      </c>
      <c r="D8" s="3" t="n">
        <v>-321887621.9</v>
      </c>
      <c r="E8" s="3" t="n">
        <v>68.47</v>
      </c>
      <c r="F8" s="2" t="n">
        <v>2629.35</v>
      </c>
      <c r="G8" s="2" t="n">
        <v>4430</v>
      </c>
      <c r="H8" s="3" t="n">
        <v>-321883861.24</v>
      </c>
      <c r="I8" s="2" t="inlineStr">
        <is>
          <t>Excedent</t>
        </is>
      </c>
    </row>
    <row r="9">
      <c r="A9" s="2" t="inlineStr">
        <is>
          <t>2025-07-04</t>
        </is>
      </c>
      <c r="B9" s="2" t="inlineStr">
        <is>
          <t>00033</t>
        </is>
      </c>
      <c r="C9" s="3" t="n">
        <v>805.05</v>
      </c>
      <c r="D9" s="3" t="n">
        <v>-31941486.17</v>
      </c>
      <c r="E9" s="3" t="n">
        <v>62.87</v>
      </c>
      <c r="F9" s="2" t="n">
        <v>607.36</v>
      </c>
      <c r="G9" s="2" t="n">
        <v>990</v>
      </c>
      <c r="H9" s="3" t="n">
        <v>-31941301.22</v>
      </c>
      <c r="I9" s="2" t="inlineStr">
        <is>
          <t>Excedent</t>
        </is>
      </c>
    </row>
    <row r="10">
      <c r="A10" s="2" t="inlineStr">
        <is>
          <t>2025-07-04</t>
        </is>
      </c>
      <c r="B10" s="2" t="inlineStr">
        <is>
          <t>00034</t>
        </is>
      </c>
      <c r="C10" s="3" t="n">
        <v>365.76</v>
      </c>
      <c r="D10" s="3" t="n">
        <v>-3445234.2</v>
      </c>
      <c r="E10" s="3" t="n">
        <v>87.94</v>
      </c>
      <c r="F10" s="2" t="n">
        <v>581.26</v>
      </c>
      <c r="G10" s="2" t="n">
        <v>1093</v>
      </c>
      <c r="H10" s="3" t="n">
        <v>-3444506.96</v>
      </c>
      <c r="I10" s="2" t="inlineStr">
        <is>
          <t>Excedent</t>
        </is>
      </c>
    </row>
    <row r="11">
      <c r="A11" s="2" t="inlineStr">
        <is>
          <t>2025-07-04</t>
        </is>
      </c>
      <c r="B11" s="2" t="inlineStr">
        <is>
          <t>00037</t>
        </is>
      </c>
      <c r="C11" s="3" t="n">
        <v>53.65</v>
      </c>
      <c r="D11" s="3" t="n">
        <v>42828197.74</v>
      </c>
      <c r="E11" s="3" t="n">
        <v>62.63</v>
      </c>
      <c r="F11" s="2" t="n">
        <v>1126.39</v>
      </c>
      <c r="G11" s="2" t="n">
        <v>1832</v>
      </c>
      <c r="H11" s="3" t="n">
        <v>42829976.09</v>
      </c>
      <c r="I11" s="2" t="inlineStr">
        <is>
          <t>Besoin</t>
        </is>
      </c>
    </row>
    <row r="12">
      <c r="A12" s="2" t="inlineStr">
        <is>
          <t>2025-07-04</t>
        </is>
      </c>
      <c r="B12" s="2" t="inlineStr">
        <is>
          <t>00038</t>
        </is>
      </c>
      <c r="C12" s="3" t="n">
        <v>287.07</v>
      </c>
      <c r="D12" s="3" t="n">
        <v>4461811.29</v>
      </c>
      <c r="E12" s="3" t="n">
        <v>101.62</v>
      </c>
      <c r="F12" s="2" t="n">
        <v>609.22</v>
      </c>
      <c r="G12" s="2" t="n">
        <v>1229</v>
      </c>
      <c r="H12" s="3" t="n">
        <v>4462753.22</v>
      </c>
      <c r="I12" s="2" t="inlineStr">
        <is>
          <t>Besoin</t>
        </is>
      </c>
    </row>
    <row r="13">
      <c r="A13" s="2" t="inlineStr">
        <is>
          <t>2025-07-04</t>
        </is>
      </c>
      <c r="B13" s="2" t="inlineStr">
        <is>
          <t>00039</t>
        </is>
      </c>
      <c r="C13" s="3" t="n">
        <v>73.83</v>
      </c>
      <c r="D13" s="3" t="n">
        <v>38886999.53</v>
      </c>
      <c r="E13" s="3" t="n">
        <v>28.88</v>
      </c>
      <c r="F13" s="2" t="n">
        <v>689.11</v>
      </c>
      <c r="G13" s="2" t="n">
        <v>889</v>
      </c>
      <c r="H13" s="3" t="n">
        <v>38887814.7</v>
      </c>
      <c r="I13" s="2" t="inlineStr">
        <is>
          <t>Besoin</t>
        </is>
      </c>
    </row>
    <row r="14">
      <c r="A14" s="2" t="inlineStr">
        <is>
          <t>2025-07-04</t>
        </is>
      </c>
      <c r="B14" s="2" t="inlineStr">
        <is>
          <t>00040</t>
        </is>
      </c>
      <c r="C14" s="3" t="n">
        <v>931.01</v>
      </c>
      <c r="D14" s="3" t="n">
        <v>33536824.91</v>
      </c>
      <c r="E14" s="3" t="n">
        <v>80.05</v>
      </c>
      <c r="F14" s="2" t="n">
        <v>613.64</v>
      </c>
      <c r="G14" s="2" t="n">
        <v>1105</v>
      </c>
      <c r="H14" s="3" t="n">
        <v>33536998.9</v>
      </c>
      <c r="I14" s="2" t="inlineStr">
        <is>
          <t>Besoin</t>
        </is>
      </c>
    </row>
    <row r="15">
      <c r="A15" s="2" t="inlineStr">
        <is>
          <t>2025-07-04</t>
        </is>
      </c>
      <c r="B15" s="2" t="inlineStr">
        <is>
          <t>00042</t>
        </is>
      </c>
      <c r="C15" s="3" t="n">
        <v>617.46</v>
      </c>
      <c r="D15" s="3" t="n">
        <v>-3296212.53</v>
      </c>
      <c r="E15" s="3" t="n">
        <v>100.76</v>
      </c>
      <c r="F15" s="2" t="n">
        <v>180.71</v>
      </c>
      <c r="G15" s="2" t="n">
        <v>363</v>
      </c>
      <c r="H15" s="3" t="n">
        <v>-3296466.99</v>
      </c>
      <c r="I15" s="2" t="inlineStr">
        <is>
          <t>Excedent</t>
        </is>
      </c>
    </row>
    <row r="16">
      <c r="A16" s="2" t="inlineStr">
        <is>
          <t>2025-07-04</t>
        </is>
      </c>
      <c r="B16" s="2" t="inlineStr">
        <is>
          <t>00043</t>
        </is>
      </c>
      <c r="C16" s="3" t="n">
        <v>904.37</v>
      </c>
      <c r="D16" s="3" t="n">
        <v>3509395.53</v>
      </c>
      <c r="E16" s="3" t="n">
        <v>124.02</v>
      </c>
      <c r="F16" s="2" t="n">
        <v>648.2</v>
      </c>
      <c r="G16" s="2" t="n">
        <v>1453</v>
      </c>
      <c r="H16" s="3" t="n">
        <v>3509944.16</v>
      </c>
      <c r="I16" s="2" t="inlineStr">
        <is>
          <t>Besoin</t>
        </is>
      </c>
    </row>
    <row r="17">
      <c r="A17" s="2" t="inlineStr">
        <is>
          <t>2025-07-04</t>
        </is>
      </c>
      <c r="B17" s="2" t="inlineStr">
        <is>
          <t>00045</t>
        </is>
      </c>
      <c r="C17" s="3" t="n">
        <v>198.74</v>
      </c>
      <c r="D17" s="3" t="n">
        <v>-43005332.27</v>
      </c>
      <c r="E17" s="3" t="n">
        <v>1584.48</v>
      </c>
      <c r="F17" s="2" t="n">
        <v>788.26</v>
      </c>
      <c r="G17" s="2" t="n">
        <v>13279</v>
      </c>
      <c r="H17" s="3" t="n">
        <v>-42992252.01</v>
      </c>
      <c r="I17" s="2" t="inlineStr">
        <is>
          <t>Excedent</t>
        </is>
      </c>
    </row>
    <row r="18">
      <c r="A18" s="2" t="inlineStr">
        <is>
          <t>2025-07-04</t>
        </is>
      </c>
      <c r="B18" s="2" t="inlineStr">
        <is>
          <t>00046</t>
        </is>
      </c>
      <c r="C18" s="3" t="n">
        <v>570.54</v>
      </c>
      <c r="D18" s="3" t="n">
        <v>130219442.16</v>
      </c>
      <c r="E18" s="3" t="n">
        <v>72.01000000000001</v>
      </c>
      <c r="F18" s="2" t="n">
        <v>823.27</v>
      </c>
      <c r="G18" s="2" t="n">
        <v>1417</v>
      </c>
      <c r="H18" s="3" t="n">
        <v>130220288.62</v>
      </c>
      <c r="I18" s="2" t="inlineStr">
        <is>
          <t>Besoin</t>
        </is>
      </c>
    </row>
    <row r="19">
      <c r="A19" s="2" t="inlineStr">
        <is>
          <t>2025-07-04</t>
        </is>
      </c>
      <c r="B19" s="2" t="inlineStr">
        <is>
          <t>00055</t>
        </is>
      </c>
      <c r="C19" s="3" t="n">
        <v>487.25</v>
      </c>
      <c r="D19" s="3" t="n">
        <v>47596204</v>
      </c>
      <c r="E19" s="3" t="n">
        <v>301.54</v>
      </c>
      <c r="F19" s="2" t="n">
        <v>575.03</v>
      </c>
      <c r="G19" s="2" t="n">
        <v>2309</v>
      </c>
      <c r="H19" s="3" t="n">
        <v>47598025.75</v>
      </c>
      <c r="I19" s="2" t="inlineStr">
        <is>
          <t>Besoin</t>
        </is>
      </c>
    </row>
    <row r="20">
      <c r="A20" s="2" t="inlineStr">
        <is>
          <t>2025-07-04</t>
        </is>
      </c>
      <c r="B20" s="2" t="inlineStr">
        <is>
          <t>00056</t>
        </is>
      </c>
      <c r="C20" s="3" t="n">
        <v>172.07</v>
      </c>
      <c r="D20" s="3" t="n">
        <v>-38335238.58</v>
      </c>
      <c r="E20" s="3" t="n">
        <v>74.20999999999999</v>
      </c>
      <c r="F20" s="2" t="n">
        <v>438.86</v>
      </c>
      <c r="G20" s="2" t="n">
        <v>765</v>
      </c>
      <c r="H20" s="3" t="n">
        <v>-38334645.65</v>
      </c>
      <c r="I20" s="2" t="inlineStr">
        <is>
          <t>Excedent</t>
        </is>
      </c>
    </row>
    <row r="21">
      <c r="A21" s="2" t="inlineStr">
        <is>
          <t>2025-07-04</t>
        </is>
      </c>
      <c r="B21" s="2" t="inlineStr">
        <is>
          <t>00057</t>
        </is>
      </c>
      <c r="C21" s="3" t="n">
        <v>896.83</v>
      </c>
      <c r="D21" s="3" t="n">
        <v>5386555.81</v>
      </c>
      <c r="E21" s="3" t="n">
        <v>90.23</v>
      </c>
      <c r="F21" s="2" t="n">
        <v>589.85</v>
      </c>
      <c r="G21" s="2" t="n">
        <v>1123</v>
      </c>
      <c r="H21" s="3" t="n">
        <v>5386781.98</v>
      </c>
      <c r="I21" s="2" t="inlineStr">
        <is>
          <t>Besoin</t>
        </is>
      </c>
    </row>
    <row r="22">
      <c r="A22" s="2" t="inlineStr">
        <is>
          <t>2025-07-04</t>
        </is>
      </c>
      <c r="B22" s="2" t="inlineStr">
        <is>
          <t>00062</t>
        </is>
      </c>
      <c r="C22" s="3" t="n">
        <v>305.58</v>
      </c>
      <c r="D22" s="3" t="n">
        <v>7113431.01</v>
      </c>
      <c r="E22" s="3" t="n">
        <v>102.77</v>
      </c>
      <c r="F22" s="2" t="n">
        <v>543.25</v>
      </c>
      <c r="G22" s="2" t="n">
        <v>1102</v>
      </c>
      <c r="H22" s="3" t="n">
        <v>7114227.43</v>
      </c>
      <c r="I22" s="2" t="inlineStr">
        <is>
          <t>Besoin</t>
        </is>
      </c>
    </row>
    <row r="23">
      <c r="A23" s="2" t="inlineStr">
        <is>
          <t>2025-07-04</t>
        </is>
      </c>
      <c r="B23" s="2" t="inlineStr">
        <is>
          <t>00063</t>
        </is>
      </c>
      <c r="C23" s="3" t="n">
        <v>528.4299999999999</v>
      </c>
      <c r="D23" s="3" t="n">
        <v>25847559.87</v>
      </c>
      <c r="E23" s="3" t="n">
        <v>212.3</v>
      </c>
      <c r="F23" s="2" t="n">
        <v>510.64</v>
      </c>
      <c r="G23" s="2" t="n">
        <v>1595</v>
      </c>
      <c r="H23" s="3" t="n">
        <v>25848626.44</v>
      </c>
      <c r="I23" s="2" t="inlineStr">
        <is>
          <t>Besoin</t>
        </is>
      </c>
    </row>
    <row r="24">
      <c r="A24" s="2" t="inlineStr">
        <is>
          <t>2025-07-04</t>
        </is>
      </c>
      <c r="B24" s="2" t="inlineStr">
        <is>
          <t>00064</t>
        </is>
      </c>
      <c r="C24" s="3" t="n">
        <v>375.77</v>
      </c>
      <c r="D24" s="3" t="n">
        <v>38509650.55</v>
      </c>
      <c r="E24" s="3" t="n">
        <v>53.22</v>
      </c>
      <c r="F24" s="2" t="n">
        <v>584.74</v>
      </c>
      <c r="G24" s="2" t="n">
        <v>896</v>
      </c>
      <c r="H24" s="3" t="n">
        <v>38510170.78</v>
      </c>
      <c r="I24" s="2" t="inlineStr">
        <is>
          <t>Besoin</t>
        </is>
      </c>
    </row>
    <row r="25">
      <c r="A25" s="2" t="inlineStr">
        <is>
          <t>2025-07-04</t>
        </is>
      </c>
      <c r="B25" s="2" t="inlineStr">
        <is>
          <t>00073</t>
        </is>
      </c>
      <c r="C25" s="3" t="n">
        <v>56.34</v>
      </c>
      <c r="D25" s="3" t="n">
        <v>24199333.94</v>
      </c>
      <c r="E25" s="3" t="n">
        <v>393.88</v>
      </c>
      <c r="F25" s="2" t="n">
        <v>564.76</v>
      </c>
      <c r="G25" s="2" t="n">
        <v>2790</v>
      </c>
      <c r="H25" s="3" t="n">
        <v>24202067.6</v>
      </c>
      <c r="I25" s="2" t="inlineStr">
        <is>
          <t>Besoin</t>
        </is>
      </c>
    </row>
    <row r="26">
      <c r="A26" s="2" t="inlineStr">
        <is>
          <t>2025-07-04</t>
        </is>
      </c>
      <c r="B26" s="2" t="inlineStr">
        <is>
          <t>00075</t>
        </is>
      </c>
      <c r="C26" s="3" t="n">
        <v>979.5</v>
      </c>
      <c r="D26" s="3" t="n">
        <v>11651269.16</v>
      </c>
      <c r="E26" s="3" t="n">
        <v>177.71</v>
      </c>
      <c r="F26" s="2" t="n">
        <v>564.24</v>
      </c>
      <c r="G26" s="2" t="n">
        <v>1567</v>
      </c>
      <c r="H26" s="3" t="n">
        <v>11651856.66</v>
      </c>
      <c r="I26" s="2" t="inlineStr">
        <is>
          <t>Besoin</t>
        </is>
      </c>
    </row>
    <row r="27">
      <c r="A27" s="2" t="inlineStr">
        <is>
          <t>2025-07-04</t>
        </is>
      </c>
      <c r="B27" s="2" t="inlineStr">
        <is>
          <t>00079</t>
        </is>
      </c>
      <c r="C27" s="3" t="n">
        <v>708.55</v>
      </c>
      <c r="D27" s="3" t="n">
        <v>104527251.12</v>
      </c>
      <c r="E27" s="3" t="n">
        <v>149.86</v>
      </c>
      <c r="F27" s="2" t="n">
        <v>544.76</v>
      </c>
      <c r="G27" s="2" t="n">
        <v>1362</v>
      </c>
      <c r="H27" s="3" t="n">
        <v>104527904.57</v>
      </c>
      <c r="I27" s="2" t="inlineStr">
        <is>
          <t>Besoin</t>
        </is>
      </c>
    </row>
    <row r="28">
      <c r="A28" s="2" t="inlineStr">
        <is>
          <t>2025-07-04</t>
        </is>
      </c>
      <c r="B28" s="2" t="inlineStr">
        <is>
          <t>00081</t>
        </is>
      </c>
      <c r="C28" s="3" t="n">
        <v>769.11</v>
      </c>
      <c r="D28" s="3" t="n">
        <v>29099305.76</v>
      </c>
      <c r="E28" s="3" t="n">
        <v>237.59</v>
      </c>
      <c r="F28" s="2" t="n">
        <v>547.24</v>
      </c>
      <c r="G28" s="2" t="n">
        <v>1848</v>
      </c>
      <c r="H28" s="3" t="n">
        <v>29100384.65</v>
      </c>
      <c r="I28" s="2" t="inlineStr">
        <is>
          <t>Besoin</t>
        </is>
      </c>
    </row>
    <row r="29">
      <c r="A29" s="2" t="inlineStr">
        <is>
          <t>2025-07-04</t>
        </is>
      </c>
      <c r="B29" s="2" t="inlineStr">
        <is>
          <t>00085</t>
        </is>
      </c>
      <c r="C29" s="3" t="n">
        <v>6.39</v>
      </c>
      <c r="D29" s="3" t="n">
        <v>-1069626.38</v>
      </c>
      <c r="E29" s="3" t="n">
        <v>108.89</v>
      </c>
      <c r="F29" s="2" t="n">
        <v>327.58</v>
      </c>
      <c r="G29" s="2" t="n">
        <v>685</v>
      </c>
      <c r="H29" s="3" t="n">
        <v>-1068947.77</v>
      </c>
      <c r="I29" s="2" t="inlineStr">
        <is>
          <t>Excedent</t>
        </is>
      </c>
    </row>
    <row r="30">
      <c r="A30" s="2" t="inlineStr">
        <is>
          <t>2025-07-04</t>
        </is>
      </c>
      <c r="B30" s="2" t="inlineStr">
        <is>
          <t>00087</t>
        </is>
      </c>
      <c r="C30" s="3" t="n">
        <v>192.66</v>
      </c>
      <c r="D30" s="3" t="n">
        <v>-1792224.75</v>
      </c>
      <c r="E30" s="3" t="n">
        <v>106.18</v>
      </c>
      <c r="F30" s="2" t="n">
        <v>531.87</v>
      </c>
      <c r="G30" s="2" t="n">
        <v>1097</v>
      </c>
      <c r="H30" s="3" t="n">
        <v>-1791320.41</v>
      </c>
      <c r="I30" s="2" t="inlineStr">
        <is>
          <t>Excedent</t>
        </is>
      </c>
    </row>
    <row r="31">
      <c r="A31" s="2" t="inlineStr">
        <is>
          <t>2025-07-04</t>
        </is>
      </c>
      <c r="B31" s="4" t="inlineStr">
        <is>
          <t>BEAC</t>
        </is>
      </c>
      <c r="C31" s="2" t="n"/>
      <c r="D31" s="2" t="n"/>
      <c r="E31" s="2" t="n"/>
      <c r="F31" s="2" t="n"/>
      <c r="G31" s="2" t="n"/>
      <c r="H31" s="5">
        <f>-SUM(H2:H30)</f>
        <v/>
      </c>
      <c r="I31" s="4">
        <f>IF(H31&lt;0;"Retrait BEAC";IF(H31&gt;0;"Versement BEAC";"Aucun besoin"))</f>
        <v/>
      </c>
      <c r="J31" s="2" t="n"/>
      <c r="K31" s="2" t="n"/>
      <c r="L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REPARTITION BESOIN / EXCEDENT</t>
        </is>
      </c>
      <c r="B1" s="7">
        <f>SUM(B3:B31)</f>
        <v/>
      </c>
      <c r="E1" s="7">
        <f>SUM(E3:E31)</f>
        <v/>
      </c>
    </row>
    <row r="2">
      <c r="A2" s="8" t="inlineStr">
        <is>
          <t>Code Agence a Approvisionner</t>
        </is>
      </c>
      <c r="B2" s="8" t="inlineStr">
        <is>
          <t>Besoin d'approvisionnement (en Million)</t>
        </is>
      </c>
      <c r="D2" s="8" t="inlineStr">
        <is>
          <t>Code Agence en excedent</t>
        </is>
      </c>
      <c r="E2" s="8" t="inlineStr">
        <is>
          <t>Excedent de tresorerie</t>
        </is>
      </c>
    </row>
    <row r="3">
      <c r="A3" t="inlineStr">
        <is>
          <t>00005</t>
        </is>
      </c>
      <c r="B3" s="9" t="n">
        <v>28101335.68</v>
      </c>
      <c r="D3" t="inlineStr">
        <is>
          <t>00001</t>
        </is>
      </c>
      <c r="E3" s="9" t="n">
        <v>1022152289.54</v>
      </c>
    </row>
    <row r="4">
      <c r="A4" t="inlineStr">
        <is>
          <t>00021</t>
        </is>
      </c>
      <c r="B4" s="9" t="n">
        <v>203428374.55</v>
      </c>
      <c r="D4" t="inlineStr">
        <is>
          <t>00010</t>
        </is>
      </c>
      <c r="E4" s="9" t="n">
        <v>52222980.49</v>
      </c>
    </row>
    <row r="5">
      <c r="A5" t="inlineStr">
        <is>
          <t>00026</t>
        </is>
      </c>
      <c r="B5" s="9" t="n">
        <v>59108274.73</v>
      </c>
      <c r="D5" t="inlineStr">
        <is>
          <t>00024</t>
        </is>
      </c>
      <c r="E5" s="9" t="n">
        <v>28661432.25</v>
      </c>
    </row>
    <row r="6">
      <c r="A6" t="inlineStr">
        <is>
          <t>00037</t>
        </is>
      </c>
      <c r="B6" s="9" t="n">
        <v>42829976.09</v>
      </c>
      <c r="D6" t="inlineStr">
        <is>
          <t>00031</t>
        </is>
      </c>
      <c r="E6" s="9" t="n">
        <v>321883861.24</v>
      </c>
    </row>
    <row r="7">
      <c r="A7" t="inlineStr">
        <is>
          <t>00038</t>
        </is>
      </c>
      <c r="B7" s="9" t="n">
        <v>4462753.22</v>
      </c>
      <c r="D7" t="inlineStr">
        <is>
          <t>00033</t>
        </is>
      </c>
      <c r="E7" s="9" t="n">
        <v>31941301.22</v>
      </c>
    </row>
    <row r="8">
      <c r="A8" t="inlineStr">
        <is>
          <t>00039</t>
        </is>
      </c>
      <c r="B8" s="9" t="n">
        <v>38887814.7</v>
      </c>
      <c r="D8" t="inlineStr">
        <is>
          <t>00034</t>
        </is>
      </c>
      <c r="E8" s="9" t="n">
        <v>3444506.96</v>
      </c>
    </row>
    <row r="9">
      <c r="A9" t="inlineStr">
        <is>
          <t>00040</t>
        </is>
      </c>
      <c r="B9" s="9" t="n">
        <v>33536998.9</v>
      </c>
      <c r="D9" t="inlineStr">
        <is>
          <t>00042</t>
        </is>
      </c>
      <c r="E9" s="9" t="n">
        <v>3296466.99</v>
      </c>
    </row>
    <row r="10">
      <c r="A10" t="inlineStr">
        <is>
          <t>00043</t>
        </is>
      </c>
      <c r="B10" s="9" t="n">
        <v>3509944.16</v>
      </c>
      <c r="D10" t="inlineStr">
        <is>
          <t>00045</t>
        </is>
      </c>
      <c r="E10" s="9" t="n">
        <v>42992252.01</v>
      </c>
    </row>
    <row r="11">
      <c r="A11" t="inlineStr">
        <is>
          <t>00046</t>
        </is>
      </c>
      <c r="B11" s="9" t="n">
        <v>130220288.62</v>
      </c>
      <c r="D11" t="inlineStr">
        <is>
          <t>00056</t>
        </is>
      </c>
      <c r="E11" s="9" t="n">
        <v>38334645.65</v>
      </c>
    </row>
    <row r="12">
      <c r="A12" t="inlineStr">
        <is>
          <t>00055</t>
        </is>
      </c>
      <c r="B12" s="9" t="n">
        <v>47598025.75</v>
      </c>
      <c r="D12" t="inlineStr">
        <is>
          <t>00085</t>
        </is>
      </c>
      <c r="E12" s="9" t="n">
        <v>1068947.77</v>
      </c>
    </row>
    <row r="13">
      <c r="A13" t="inlineStr">
        <is>
          <t>00057</t>
        </is>
      </c>
      <c r="B13" s="9" t="n">
        <v>5386781.98</v>
      </c>
      <c r="D13" t="inlineStr">
        <is>
          <t>00087</t>
        </is>
      </c>
      <c r="E13" s="9" t="n">
        <v>1791320.41</v>
      </c>
    </row>
    <row r="14">
      <c r="A14" t="inlineStr">
        <is>
          <t>00062</t>
        </is>
      </c>
      <c r="B14" s="9" t="n">
        <v>7114227.43</v>
      </c>
    </row>
    <row r="15">
      <c r="A15" t="inlineStr">
        <is>
          <t>00063</t>
        </is>
      </c>
      <c r="B15" s="9" t="n">
        <v>25848626.44</v>
      </c>
    </row>
    <row r="16">
      <c r="A16" t="inlineStr">
        <is>
          <t>00064</t>
        </is>
      </c>
      <c r="B16" s="9" t="n">
        <v>38510170.78</v>
      </c>
    </row>
    <row r="17">
      <c r="A17" t="inlineStr">
        <is>
          <t>00073</t>
        </is>
      </c>
      <c r="B17" s="9" t="n">
        <v>24202067.6</v>
      </c>
    </row>
    <row r="18">
      <c r="A18" t="inlineStr">
        <is>
          <t>00075</t>
        </is>
      </c>
      <c r="B18" s="9" t="n">
        <v>11651856.66</v>
      </c>
    </row>
    <row r="19">
      <c r="A19" t="inlineStr">
        <is>
          <t>00079</t>
        </is>
      </c>
      <c r="B19" s="9" t="n">
        <v>104527904.57</v>
      </c>
    </row>
    <row r="20">
      <c r="A20" t="inlineStr">
        <is>
          <t>00081</t>
        </is>
      </c>
      <c r="B20" s="9" t="n">
        <v>29100384.65</v>
      </c>
    </row>
    <row r="21">
      <c r="A21" t="inlineStr">
        <is>
          <t>BEAC</t>
        </is>
      </c>
      <c r="B21" s="9" t="n">
        <v>709764198.02</v>
      </c>
    </row>
    <row r="22"/>
    <row r="23"/>
    <row r="24"/>
    <row r="25"/>
    <row r="26"/>
    <row r="27"/>
    <row r="28"/>
    <row r="29"/>
    <row r="30"/>
    <row r="31"/>
    <row r="32"/>
    <row r="33"/>
    <row r="34">
      <c r="A34" s="6" t="inlineStr">
        <is>
          <t>MATRICE D'ALLOCATION OPTIMALE</t>
        </is>
      </c>
    </row>
    <row r="35"/>
    <row r="36">
      <c r="B36" s="10" t="inlineStr">
        <is>
          <t>00005</t>
        </is>
      </c>
      <c r="C36" s="10" t="inlineStr">
        <is>
          <t>00021</t>
        </is>
      </c>
      <c r="D36" s="10" t="inlineStr">
        <is>
          <t>00026</t>
        </is>
      </c>
      <c r="E36" s="10" t="inlineStr">
        <is>
          <t>00037</t>
        </is>
      </c>
      <c r="F36" s="10" t="inlineStr">
        <is>
          <t>00038</t>
        </is>
      </c>
      <c r="G36" s="10" t="inlineStr">
        <is>
          <t>00039</t>
        </is>
      </c>
      <c r="H36" s="10" t="inlineStr">
        <is>
          <t>00040</t>
        </is>
      </c>
      <c r="I36" s="10" t="inlineStr">
        <is>
          <t>00043</t>
        </is>
      </c>
      <c r="J36" s="10" t="inlineStr">
        <is>
          <t>00046</t>
        </is>
      </c>
      <c r="K36" s="10" t="inlineStr">
        <is>
          <t>00055</t>
        </is>
      </c>
      <c r="L36" s="10" t="inlineStr">
        <is>
          <t>00057</t>
        </is>
      </c>
      <c r="M36" s="10" t="inlineStr">
        <is>
          <t>00062</t>
        </is>
      </c>
      <c r="N36" s="10" t="inlineStr">
        <is>
          <t>00063</t>
        </is>
      </c>
      <c r="O36" s="10" t="inlineStr">
        <is>
          <t>00064</t>
        </is>
      </c>
      <c r="P36" s="10" t="inlineStr">
        <is>
          <t>00073</t>
        </is>
      </c>
      <c r="Q36" s="10" t="inlineStr">
        <is>
          <t>00075</t>
        </is>
      </c>
      <c r="R36" s="10" t="inlineStr">
        <is>
          <t>00079</t>
        </is>
      </c>
      <c r="S36" s="10" t="inlineStr">
        <is>
          <t>00081</t>
        </is>
      </c>
      <c r="T36" s="10" t="inlineStr">
        <is>
          <t>BEAC</t>
        </is>
      </c>
      <c r="U36" s="8" t="inlineStr">
        <is>
          <t>Total Excedent</t>
        </is>
      </c>
    </row>
    <row r="37">
      <c r="A37" s="8" t="inlineStr">
        <is>
          <t>00001</t>
        </is>
      </c>
      <c r="B37" s="2" t="inlineStr"/>
      <c r="C37" s="11" t="n">
        <v>176605780</v>
      </c>
      <c r="D37" s="11" t="n">
        <v>59108275</v>
      </c>
      <c r="E37" s="11" t="n">
        <v>42829976</v>
      </c>
      <c r="F37" s="11" t="n">
        <v>4462753.2</v>
      </c>
      <c r="G37" s="11" t="n">
        <v>38887815</v>
      </c>
      <c r="H37" s="11" t="n">
        <v>33536999</v>
      </c>
      <c r="I37" s="2" t="inlineStr"/>
      <c r="J37" s="11" t="n">
        <v>130220290</v>
      </c>
      <c r="K37" s="11" t="n">
        <v>4605773.7</v>
      </c>
      <c r="L37" s="11" t="n">
        <v>5386782</v>
      </c>
      <c r="M37" s="2" t="inlineStr"/>
      <c r="N37" s="11" t="n">
        <v>25848626</v>
      </c>
      <c r="O37" s="2" t="inlineStr"/>
      <c r="P37" s="11" t="n">
        <v>24202068</v>
      </c>
      <c r="Q37" s="2" t="inlineStr"/>
      <c r="R37" s="11" t="n">
        <v>99440117</v>
      </c>
      <c r="S37" s="11" t="n">
        <v>17798127</v>
      </c>
      <c r="T37" s="11" t="n">
        <v>359218900</v>
      </c>
      <c r="U37" s="7" t="n">
        <v>1022152289.54</v>
      </c>
    </row>
    <row r="38">
      <c r="A38" s="8" t="inlineStr">
        <is>
          <t>00010</t>
        </is>
      </c>
      <c r="B38" s="2" t="inlineStr"/>
      <c r="C38" s="11" t="n">
        <v>2060953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11" t="n">
        <v>38510171</v>
      </c>
      <c r="P38" s="2" t="inlineStr"/>
      <c r="Q38" s="11" t="n">
        <v>11651857</v>
      </c>
      <c r="R38" s="2" t="inlineStr"/>
      <c r="S38" s="2" t="inlineStr"/>
      <c r="T38" s="2" t="inlineStr"/>
      <c r="U38" s="7" t="n">
        <v>52222980.49</v>
      </c>
    </row>
    <row r="39">
      <c r="A39" s="8" t="inlineStr">
        <is>
          <t>00024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11" t="n">
        <v>28661432</v>
      </c>
      <c r="U39" s="7" t="n">
        <v>28661432.25</v>
      </c>
    </row>
    <row r="40">
      <c r="A40" s="8" t="inlineStr">
        <is>
          <t>00031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11" t="n">
        <v>321883860</v>
      </c>
      <c r="U40" s="7" t="n">
        <v>321883861.24</v>
      </c>
    </row>
    <row r="41">
      <c r="A41" s="8" t="inlineStr">
        <is>
          <t>00033</t>
        </is>
      </c>
      <c r="B41" s="2" t="inlineStr"/>
      <c r="C41" s="11" t="n">
        <v>21317130</v>
      </c>
      <c r="D41" s="2" t="inlineStr"/>
      <c r="E41" s="2" t="inlineStr"/>
      <c r="F41" s="2" t="inlineStr"/>
      <c r="G41" s="2" t="inlineStr"/>
      <c r="H41" s="2" t="inlineStr"/>
      <c r="I41" s="11" t="n">
        <v>3509944.2</v>
      </c>
      <c r="J41" s="2" t="inlineStr"/>
      <c r="K41" s="2" t="inlineStr"/>
      <c r="L41" s="2" t="inlineStr"/>
      <c r="M41" s="11" t="n">
        <v>7114227.4</v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7" t="n">
        <v>31941301.22</v>
      </c>
    </row>
    <row r="42">
      <c r="A42" s="8" t="inlineStr">
        <is>
          <t>00034</t>
        </is>
      </c>
      <c r="B42" s="2" t="inlineStr"/>
      <c r="C42" s="11" t="n">
        <v>3444507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7" t="n">
        <v>3444506.96</v>
      </c>
    </row>
    <row r="43">
      <c r="A43" s="8" t="inlineStr">
        <is>
          <t>00042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11" t="n">
        <v>3296467</v>
      </c>
      <c r="S43" s="2" t="inlineStr"/>
      <c r="T43" s="2" t="inlineStr"/>
      <c r="U43" s="7" t="n">
        <v>3296466.99</v>
      </c>
    </row>
    <row r="44">
      <c r="A44" s="8" t="inlineStr">
        <is>
          <t>00045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11" t="n">
        <v>42992252</v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7" t="n">
        <v>42992252.01</v>
      </c>
    </row>
    <row r="45">
      <c r="A45" s="8" t="inlineStr">
        <is>
          <t>00056</t>
        </is>
      </c>
      <c r="B45" s="11" t="n">
        <v>27032388</v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11" t="n">
        <v>11302258</v>
      </c>
      <c r="T45" s="2" t="inlineStr"/>
      <c r="U45" s="7" t="n">
        <v>38334645.65</v>
      </c>
    </row>
    <row r="46">
      <c r="A46" s="8" t="inlineStr">
        <is>
          <t>00085</t>
        </is>
      </c>
      <c r="B46" s="11" t="n">
        <v>1068947.8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7" t="n">
        <v>1068947.77</v>
      </c>
    </row>
    <row r="47">
      <c r="A47" s="8" t="inlineStr">
        <is>
          <t>00087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11" t="n">
        <v>1791320.4</v>
      </c>
      <c r="S47" s="2" t="inlineStr"/>
      <c r="T47" s="2" t="inlineStr"/>
      <c r="U47" s="7" t="n">
        <v>1791320.41</v>
      </c>
    </row>
    <row r="48">
      <c r="A48" s="8" t="inlineStr">
        <is>
          <t>Total Besoin</t>
        </is>
      </c>
      <c r="B48" s="7" t="n">
        <v>28101335.68</v>
      </c>
      <c r="C48" s="7" t="n">
        <v>203428374.55</v>
      </c>
      <c r="D48" s="7" t="n">
        <v>59108274.73</v>
      </c>
      <c r="E48" s="7" t="n">
        <v>42829976.09</v>
      </c>
      <c r="F48" s="7" t="n">
        <v>4462753.22</v>
      </c>
      <c r="G48" s="7" t="n">
        <v>38887814.7</v>
      </c>
      <c r="H48" s="7" t="n">
        <v>33536998.9</v>
      </c>
      <c r="I48" s="7" t="n">
        <v>3509944.16</v>
      </c>
      <c r="J48" s="7" t="n">
        <v>130220288.62</v>
      </c>
      <c r="K48" s="7" t="n">
        <v>47598025.75</v>
      </c>
      <c r="L48" s="7" t="n">
        <v>5386781.98</v>
      </c>
      <c r="M48" s="7" t="n">
        <v>7114227.43</v>
      </c>
      <c r="N48" s="7" t="n">
        <v>25848626.44</v>
      </c>
      <c r="O48" s="7" t="n">
        <v>38510170.78</v>
      </c>
      <c r="P48" s="7" t="n">
        <v>24202067.6</v>
      </c>
      <c r="Q48" s="7" t="n">
        <v>11651856.66</v>
      </c>
      <c r="R48" s="7" t="n">
        <v>104527904.57</v>
      </c>
      <c r="S48" s="7" t="n">
        <v>29100384.65</v>
      </c>
      <c r="T48" s="7" t="n">
        <v>709764198.02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6" t="inlineStr">
        <is>
          <t>MATRICE DES COUTS UNITAIRES (FCFA par Million)</t>
        </is>
      </c>
    </row>
    <row r="2"/>
    <row r="3">
      <c r="B3" s="10" t="inlineStr">
        <is>
          <t>00001</t>
        </is>
      </c>
      <c r="C3" s="10" t="inlineStr">
        <is>
          <t>00005</t>
        </is>
      </c>
      <c r="D3" s="10" t="inlineStr">
        <is>
          <t>00010</t>
        </is>
      </c>
      <c r="E3" s="10" t="inlineStr">
        <is>
          <t>00021</t>
        </is>
      </c>
      <c r="F3" s="10" t="inlineStr">
        <is>
          <t>00024</t>
        </is>
      </c>
      <c r="G3" s="10" t="inlineStr">
        <is>
          <t>00026</t>
        </is>
      </c>
      <c r="H3" s="10" t="inlineStr">
        <is>
          <t>00031</t>
        </is>
      </c>
      <c r="I3" s="10" t="inlineStr">
        <is>
          <t>00033</t>
        </is>
      </c>
      <c r="J3" s="10" t="inlineStr">
        <is>
          <t>00034</t>
        </is>
      </c>
      <c r="K3" s="10" t="inlineStr">
        <is>
          <t>00037</t>
        </is>
      </c>
      <c r="L3" s="10" t="inlineStr">
        <is>
          <t>00038</t>
        </is>
      </c>
      <c r="M3" s="10" t="inlineStr">
        <is>
          <t>00039</t>
        </is>
      </c>
      <c r="N3" s="10" t="inlineStr">
        <is>
          <t>00040</t>
        </is>
      </c>
      <c r="O3" s="10" t="inlineStr">
        <is>
          <t>00042</t>
        </is>
      </c>
      <c r="P3" s="10" t="inlineStr">
        <is>
          <t>00043</t>
        </is>
      </c>
      <c r="Q3" s="10" t="inlineStr">
        <is>
          <t>00045</t>
        </is>
      </c>
      <c r="R3" s="10" t="inlineStr">
        <is>
          <t>00046</t>
        </is>
      </c>
      <c r="S3" s="10" t="inlineStr">
        <is>
          <t>00055</t>
        </is>
      </c>
      <c r="T3" s="10" t="inlineStr">
        <is>
          <t>00056</t>
        </is>
      </c>
      <c r="U3" s="10" t="inlineStr">
        <is>
          <t>00057</t>
        </is>
      </c>
      <c r="V3" s="10" t="inlineStr">
        <is>
          <t>00062</t>
        </is>
      </c>
      <c r="W3" s="10" t="inlineStr">
        <is>
          <t>00063</t>
        </is>
      </c>
      <c r="X3" s="10" t="inlineStr">
        <is>
          <t>00064</t>
        </is>
      </c>
      <c r="Y3" s="10" t="inlineStr">
        <is>
          <t>00073</t>
        </is>
      </c>
      <c r="Z3" s="10" t="inlineStr">
        <is>
          <t>00075</t>
        </is>
      </c>
      <c r="AA3" s="10" t="inlineStr">
        <is>
          <t>00079</t>
        </is>
      </c>
      <c r="AB3" s="10" t="inlineStr">
        <is>
          <t>00081</t>
        </is>
      </c>
      <c r="AC3" s="10" t="inlineStr">
        <is>
          <t>00085</t>
        </is>
      </c>
      <c r="AD3" s="10" t="inlineStr">
        <is>
          <t>00087</t>
        </is>
      </c>
      <c r="AE3" s="10" t="inlineStr">
        <is>
          <t>BEAC</t>
        </is>
      </c>
    </row>
    <row r="4">
      <c r="A4" s="8" t="inlineStr">
        <is>
          <t>00001</t>
        </is>
      </c>
      <c r="B4" s="12" t="n">
        <v>0</v>
      </c>
      <c r="C4" s="13" t="n">
        <v>81</v>
      </c>
      <c r="D4" s="13" t="n">
        <v>44</v>
      </c>
      <c r="E4" s="13" t="n">
        <v>90</v>
      </c>
      <c r="F4" s="13" t="n">
        <v>50</v>
      </c>
      <c r="G4" s="13" t="n">
        <v>53</v>
      </c>
      <c r="H4" s="13" t="n">
        <v>32</v>
      </c>
      <c r="I4" s="13" t="n">
        <v>51</v>
      </c>
      <c r="J4" s="13" t="n">
        <v>82</v>
      </c>
      <c r="K4" s="13" t="n">
        <v>31</v>
      </c>
      <c r="L4" s="13" t="n">
        <v>59</v>
      </c>
      <c r="M4" s="13" t="n">
        <v>67</v>
      </c>
      <c r="N4" s="13" t="n">
        <v>31</v>
      </c>
      <c r="O4" s="13" t="n">
        <v>93</v>
      </c>
      <c r="P4" s="13" t="n">
        <v>89</v>
      </c>
      <c r="Q4" s="13" t="n">
        <v>50</v>
      </c>
      <c r="R4" s="13" t="n">
        <v>62</v>
      </c>
      <c r="S4" s="13" t="n">
        <v>87</v>
      </c>
      <c r="T4" s="13" t="n">
        <v>51</v>
      </c>
      <c r="U4" s="13" t="n">
        <v>78</v>
      </c>
      <c r="V4" s="13" t="n">
        <v>88</v>
      </c>
      <c r="W4" s="13" t="n">
        <v>71</v>
      </c>
      <c r="X4" s="13" t="n">
        <v>89</v>
      </c>
      <c r="Y4" s="13" t="n">
        <v>44</v>
      </c>
      <c r="Z4" s="13" t="n">
        <v>91</v>
      </c>
      <c r="AA4" s="13" t="n">
        <v>91</v>
      </c>
      <c r="AB4" s="13" t="n">
        <v>76</v>
      </c>
      <c r="AC4" s="13" t="n">
        <v>91</v>
      </c>
      <c r="AD4" s="13" t="n">
        <v>80</v>
      </c>
      <c r="AE4" s="13" t="n">
        <v>84</v>
      </c>
    </row>
    <row r="5">
      <c r="A5" s="8" t="inlineStr">
        <is>
          <t>00005</t>
        </is>
      </c>
      <c r="B5" s="13" t="n">
        <v>81</v>
      </c>
      <c r="C5" s="12" t="n">
        <v>0</v>
      </c>
      <c r="D5" s="13" t="n">
        <v>93</v>
      </c>
      <c r="E5" s="13" t="n">
        <v>32</v>
      </c>
      <c r="F5" s="13" t="n">
        <v>80</v>
      </c>
      <c r="G5" s="13" t="n">
        <v>36</v>
      </c>
      <c r="H5" s="13" t="n">
        <v>50</v>
      </c>
      <c r="I5" s="13" t="n">
        <v>68</v>
      </c>
      <c r="J5" s="13" t="n">
        <v>47</v>
      </c>
      <c r="K5" s="13" t="n">
        <v>33</v>
      </c>
      <c r="L5" s="13" t="n">
        <v>89</v>
      </c>
      <c r="M5" s="13" t="n">
        <v>43</v>
      </c>
      <c r="N5" s="13" t="n">
        <v>38</v>
      </c>
      <c r="O5" s="13" t="n">
        <v>82</v>
      </c>
      <c r="P5" s="13" t="n">
        <v>31</v>
      </c>
      <c r="Q5" s="13" t="n">
        <v>89</v>
      </c>
      <c r="R5" s="13" t="n">
        <v>100</v>
      </c>
      <c r="S5" s="13" t="n">
        <v>73</v>
      </c>
      <c r="T5" s="13" t="n">
        <v>37</v>
      </c>
      <c r="U5" s="13" t="n">
        <v>76</v>
      </c>
      <c r="V5" s="13" t="n">
        <v>64</v>
      </c>
      <c r="W5" s="13" t="n">
        <v>65</v>
      </c>
      <c r="X5" s="13" t="n">
        <v>79</v>
      </c>
      <c r="Y5" s="13" t="n">
        <v>33</v>
      </c>
      <c r="Z5" s="13" t="n">
        <v>31</v>
      </c>
      <c r="AA5" s="13" t="n">
        <v>35</v>
      </c>
      <c r="AB5" s="13" t="n">
        <v>83</v>
      </c>
      <c r="AC5" s="13" t="n">
        <v>33</v>
      </c>
      <c r="AD5" s="13" t="n">
        <v>83</v>
      </c>
      <c r="AE5" s="13" t="n">
        <v>92</v>
      </c>
    </row>
    <row r="6">
      <c r="A6" s="8" t="inlineStr">
        <is>
          <t>00010</t>
        </is>
      </c>
      <c r="B6" s="13" t="n">
        <v>44</v>
      </c>
      <c r="C6" s="13" t="n">
        <v>93</v>
      </c>
      <c r="D6" s="12" t="n">
        <v>0</v>
      </c>
      <c r="E6" s="13" t="n">
        <v>47</v>
      </c>
      <c r="F6" s="13" t="n">
        <v>73</v>
      </c>
      <c r="G6" s="13" t="n">
        <v>63</v>
      </c>
      <c r="H6" s="13" t="n">
        <v>91</v>
      </c>
      <c r="I6" s="13" t="n">
        <v>43</v>
      </c>
      <c r="J6" s="13" t="n">
        <v>77</v>
      </c>
      <c r="K6" s="13" t="n">
        <v>44</v>
      </c>
      <c r="L6" s="13" t="n">
        <v>91</v>
      </c>
      <c r="M6" s="13" t="n">
        <v>69</v>
      </c>
      <c r="N6" s="13" t="n">
        <v>82</v>
      </c>
      <c r="O6" s="13" t="n">
        <v>53</v>
      </c>
      <c r="P6" s="13" t="n">
        <v>55</v>
      </c>
      <c r="Q6" s="13" t="n">
        <v>89</v>
      </c>
      <c r="R6" s="13" t="n">
        <v>70</v>
      </c>
      <c r="S6" s="13" t="n">
        <v>58</v>
      </c>
      <c r="T6" s="13" t="n">
        <v>44</v>
      </c>
      <c r="U6" s="13" t="n">
        <v>74</v>
      </c>
      <c r="V6" s="13" t="n">
        <v>94</v>
      </c>
      <c r="W6" s="13" t="n">
        <v>100</v>
      </c>
      <c r="X6" s="13" t="n">
        <v>38</v>
      </c>
      <c r="Y6" s="13" t="n">
        <v>30</v>
      </c>
      <c r="Z6" s="13" t="n">
        <v>37</v>
      </c>
      <c r="AA6" s="13" t="n">
        <v>92</v>
      </c>
      <c r="AB6" s="13" t="n">
        <v>40</v>
      </c>
      <c r="AC6" s="13" t="n">
        <v>37</v>
      </c>
      <c r="AD6" s="13" t="n">
        <v>64</v>
      </c>
      <c r="AE6" s="13" t="n">
        <v>64</v>
      </c>
    </row>
    <row r="7">
      <c r="A7" s="8" t="inlineStr">
        <is>
          <t>00021</t>
        </is>
      </c>
      <c r="B7" s="13" t="n">
        <v>90</v>
      </c>
      <c r="C7" s="13" t="n">
        <v>32</v>
      </c>
      <c r="D7" s="13" t="n">
        <v>47</v>
      </c>
      <c r="E7" s="12" t="n">
        <v>0</v>
      </c>
      <c r="F7" s="13" t="n">
        <v>62</v>
      </c>
      <c r="G7" s="13" t="n">
        <v>34</v>
      </c>
      <c r="H7" s="13" t="n">
        <v>70</v>
      </c>
      <c r="I7" s="13" t="n">
        <v>57</v>
      </c>
      <c r="J7" s="13" t="n">
        <v>36</v>
      </c>
      <c r="K7" s="13" t="n">
        <v>41</v>
      </c>
      <c r="L7" s="13" t="n">
        <v>63</v>
      </c>
      <c r="M7" s="13" t="n">
        <v>62</v>
      </c>
      <c r="N7" s="13" t="n">
        <v>77</v>
      </c>
      <c r="O7" s="13" t="n">
        <v>52</v>
      </c>
      <c r="P7" s="13" t="n">
        <v>91</v>
      </c>
      <c r="Q7" s="13" t="n">
        <v>66</v>
      </c>
      <c r="R7" s="13" t="n">
        <v>73</v>
      </c>
      <c r="S7" s="13" t="n">
        <v>64</v>
      </c>
      <c r="T7" s="13" t="n">
        <v>94</v>
      </c>
      <c r="U7" s="13" t="n">
        <v>76</v>
      </c>
      <c r="V7" s="13" t="n">
        <v>32</v>
      </c>
      <c r="W7" s="13" t="n">
        <v>30</v>
      </c>
      <c r="X7" s="13" t="n">
        <v>34</v>
      </c>
      <c r="Y7" s="13" t="n">
        <v>43</v>
      </c>
      <c r="Z7" s="13" t="n">
        <v>56</v>
      </c>
      <c r="AA7" s="13" t="n">
        <v>38</v>
      </c>
      <c r="AB7" s="13" t="n">
        <v>44</v>
      </c>
      <c r="AC7" s="13" t="n">
        <v>71</v>
      </c>
      <c r="AD7" s="13" t="n">
        <v>80</v>
      </c>
      <c r="AE7" s="13" t="n">
        <v>92</v>
      </c>
    </row>
    <row r="8">
      <c r="A8" s="8" t="inlineStr">
        <is>
          <t>00024</t>
        </is>
      </c>
      <c r="B8" s="13" t="n">
        <v>50</v>
      </c>
      <c r="C8" s="13" t="n">
        <v>80</v>
      </c>
      <c r="D8" s="13" t="n">
        <v>73</v>
      </c>
      <c r="E8" s="13" t="n">
        <v>62</v>
      </c>
      <c r="F8" s="12" t="n">
        <v>0</v>
      </c>
      <c r="G8" s="13" t="n">
        <v>81</v>
      </c>
      <c r="H8" s="13" t="n">
        <v>33</v>
      </c>
      <c r="I8" s="13" t="n">
        <v>52</v>
      </c>
      <c r="J8" s="13" t="n">
        <v>44</v>
      </c>
      <c r="K8" s="13" t="n">
        <v>72</v>
      </c>
      <c r="L8" s="13" t="n">
        <v>58</v>
      </c>
      <c r="M8" s="13" t="n">
        <v>65</v>
      </c>
      <c r="N8" s="13" t="n">
        <v>42</v>
      </c>
      <c r="O8" s="13" t="n">
        <v>61</v>
      </c>
      <c r="P8" s="13" t="n">
        <v>100</v>
      </c>
      <c r="Q8" s="13" t="n">
        <v>88</v>
      </c>
      <c r="R8" s="13" t="n">
        <v>57</v>
      </c>
      <c r="S8" s="13" t="n">
        <v>95</v>
      </c>
      <c r="T8" s="13" t="n">
        <v>71</v>
      </c>
      <c r="U8" s="13" t="n">
        <v>74</v>
      </c>
      <c r="V8" s="13" t="n">
        <v>91</v>
      </c>
      <c r="W8" s="13" t="n">
        <v>86</v>
      </c>
      <c r="X8" s="13" t="n">
        <v>35</v>
      </c>
      <c r="Y8" s="13" t="n">
        <v>57</v>
      </c>
      <c r="Z8" s="13" t="n">
        <v>57</v>
      </c>
      <c r="AA8" s="13" t="n">
        <v>73</v>
      </c>
      <c r="AB8" s="13" t="n">
        <v>59</v>
      </c>
      <c r="AC8" s="13" t="n">
        <v>91</v>
      </c>
      <c r="AD8" s="13" t="n">
        <v>91</v>
      </c>
      <c r="AE8" s="13" t="n">
        <v>30</v>
      </c>
    </row>
    <row r="9">
      <c r="A9" s="8" t="inlineStr">
        <is>
          <t>00026</t>
        </is>
      </c>
      <c r="B9" s="13" t="n">
        <v>53</v>
      </c>
      <c r="C9" s="13" t="n">
        <v>36</v>
      </c>
      <c r="D9" s="13" t="n">
        <v>63</v>
      </c>
      <c r="E9" s="13" t="n">
        <v>34</v>
      </c>
      <c r="F9" s="13" t="n">
        <v>81</v>
      </c>
      <c r="G9" s="12" t="n">
        <v>0</v>
      </c>
      <c r="H9" s="13" t="n">
        <v>56</v>
      </c>
      <c r="I9" s="13" t="n">
        <v>91</v>
      </c>
      <c r="J9" s="13" t="n">
        <v>32</v>
      </c>
      <c r="K9" s="13" t="n">
        <v>99</v>
      </c>
      <c r="L9" s="13" t="n">
        <v>56</v>
      </c>
      <c r="M9" s="13" t="n">
        <v>38</v>
      </c>
      <c r="N9" s="13" t="n">
        <v>91</v>
      </c>
      <c r="O9" s="13" t="n">
        <v>66</v>
      </c>
      <c r="P9" s="13" t="n">
        <v>80</v>
      </c>
      <c r="Q9" s="13" t="n">
        <v>73</v>
      </c>
      <c r="R9" s="13" t="n">
        <v>53</v>
      </c>
      <c r="S9" s="13" t="n">
        <v>88</v>
      </c>
      <c r="T9" s="13" t="n">
        <v>61</v>
      </c>
      <c r="U9" s="13" t="n">
        <v>81</v>
      </c>
      <c r="V9" s="13" t="n">
        <v>91</v>
      </c>
      <c r="W9" s="13" t="n">
        <v>87</v>
      </c>
      <c r="X9" s="13" t="n">
        <v>81</v>
      </c>
      <c r="Y9" s="13" t="n">
        <v>41</v>
      </c>
      <c r="Z9" s="13" t="n">
        <v>68</v>
      </c>
      <c r="AA9" s="13" t="n">
        <v>31</v>
      </c>
      <c r="AB9" s="13" t="n">
        <v>32</v>
      </c>
      <c r="AC9" s="13" t="n">
        <v>85</v>
      </c>
      <c r="AD9" s="13" t="n">
        <v>88</v>
      </c>
      <c r="AE9" s="13" t="n">
        <v>31</v>
      </c>
    </row>
    <row r="10">
      <c r="A10" s="8" t="inlineStr">
        <is>
          <t>00031</t>
        </is>
      </c>
      <c r="B10" s="13" t="n">
        <v>32</v>
      </c>
      <c r="C10" s="13" t="n">
        <v>50</v>
      </c>
      <c r="D10" s="13" t="n">
        <v>91</v>
      </c>
      <c r="E10" s="13" t="n">
        <v>70</v>
      </c>
      <c r="F10" s="13" t="n">
        <v>33</v>
      </c>
      <c r="G10" s="13" t="n">
        <v>56</v>
      </c>
      <c r="H10" s="12" t="n">
        <v>0</v>
      </c>
      <c r="I10" s="13" t="n">
        <v>31</v>
      </c>
      <c r="J10" s="13" t="n">
        <v>83</v>
      </c>
      <c r="K10" s="13" t="n">
        <v>30</v>
      </c>
      <c r="L10" s="13" t="n">
        <v>48</v>
      </c>
      <c r="M10" s="13" t="n">
        <v>31</v>
      </c>
      <c r="N10" s="13" t="n">
        <v>82</v>
      </c>
      <c r="O10" s="13" t="n">
        <v>73</v>
      </c>
      <c r="P10" s="13" t="n">
        <v>61</v>
      </c>
      <c r="Q10" s="13" t="n">
        <v>99</v>
      </c>
      <c r="R10" s="13" t="n">
        <v>61</v>
      </c>
      <c r="S10" s="13" t="n">
        <v>97</v>
      </c>
      <c r="T10" s="13" t="n">
        <v>84</v>
      </c>
      <c r="U10" s="13" t="n">
        <v>85</v>
      </c>
      <c r="V10" s="13" t="n">
        <v>46</v>
      </c>
      <c r="W10" s="13" t="n">
        <v>67</v>
      </c>
      <c r="X10" s="13" t="n">
        <v>53</v>
      </c>
      <c r="Y10" s="13" t="n">
        <v>98</v>
      </c>
      <c r="Z10" s="13" t="n">
        <v>99</v>
      </c>
      <c r="AA10" s="13" t="n">
        <v>40</v>
      </c>
      <c r="AB10" s="13" t="n">
        <v>45</v>
      </c>
      <c r="AC10" s="13" t="n">
        <v>88</v>
      </c>
      <c r="AD10" s="13" t="n">
        <v>99</v>
      </c>
      <c r="AE10" s="13" t="n">
        <v>32</v>
      </c>
    </row>
    <row r="11">
      <c r="A11" s="8" t="inlineStr">
        <is>
          <t>00033</t>
        </is>
      </c>
      <c r="B11" s="13" t="n">
        <v>51</v>
      </c>
      <c r="C11" s="13" t="n">
        <v>68</v>
      </c>
      <c r="D11" s="13" t="n">
        <v>43</v>
      </c>
      <c r="E11" s="13" t="n">
        <v>57</v>
      </c>
      <c r="F11" s="13" t="n">
        <v>52</v>
      </c>
      <c r="G11" s="13" t="n">
        <v>91</v>
      </c>
      <c r="H11" s="13" t="n">
        <v>31</v>
      </c>
      <c r="I11" s="12" t="n">
        <v>0</v>
      </c>
      <c r="J11" s="13" t="n">
        <v>49</v>
      </c>
      <c r="K11" s="13" t="n">
        <v>88</v>
      </c>
      <c r="L11" s="13" t="n">
        <v>65</v>
      </c>
      <c r="M11" s="13" t="n">
        <v>48</v>
      </c>
      <c r="N11" s="13" t="n">
        <v>96</v>
      </c>
      <c r="O11" s="13" t="n">
        <v>48</v>
      </c>
      <c r="P11" s="13" t="n">
        <v>49</v>
      </c>
      <c r="Q11" s="13" t="n">
        <v>100</v>
      </c>
      <c r="R11" s="13" t="n">
        <v>81</v>
      </c>
      <c r="S11" s="13" t="n">
        <v>62</v>
      </c>
      <c r="T11" s="13" t="n">
        <v>69</v>
      </c>
      <c r="U11" s="13" t="n">
        <v>68</v>
      </c>
      <c r="V11" s="13" t="n">
        <v>30</v>
      </c>
      <c r="W11" s="13" t="n">
        <v>40</v>
      </c>
      <c r="X11" s="13" t="n">
        <v>86</v>
      </c>
      <c r="Y11" s="13" t="n">
        <v>79</v>
      </c>
      <c r="Z11" s="13" t="n">
        <v>52</v>
      </c>
      <c r="AA11" s="13" t="n">
        <v>60</v>
      </c>
      <c r="AB11" s="13" t="n">
        <v>71</v>
      </c>
      <c r="AC11" s="13" t="n">
        <v>36</v>
      </c>
      <c r="AD11" s="13" t="n">
        <v>45</v>
      </c>
      <c r="AE11" s="13" t="n">
        <v>89</v>
      </c>
    </row>
    <row r="12">
      <c r="A12" s="8" t="inlineStr">
        <is>
          <t>00034</t>
        </is>
      </c>
      <c r="B12" s="13" t="n">
        <v>82</v>
      </c>
      <c r="C12" s="13" t="n">
        <v>47</v>
      </c>
      <c r="D12" s="13" t="n">
        <v>77</v>
      </c>
      <c r="E12" s="13" t="n">
        <v>36</v>
      </c>
      <c r="F12" s="13" t="n">
        <v>44</v>
      </c>
      <c r="G12" s="13" t="n">
        <v>32</v>
      </c>
      <c r="H12" s="13" t="n">
        <v>83</v>
      </c>
      <c r="I12" s="13" t="n">
        <v>49</v>
      </c>
      <c r="J12" s="12" t="n">
        <v>0</v>
      </c>
      <c r="K12" s="13" t="n">
        <v>31</v>
      </c>
      <c r="L12" s="13" t="n">
        <v>30</v>
      </c>
      <c r="M12" s="13" t="n">
        <v>77</v>
      </c>
      <c r="N12" s="13" t="n">
        <v>41</v>
      </c>
      <c r="O12" s="13" t="n">
        <v>98</v>
      </c>
      <c r="P12" s="13" t="n">
        <v>66</v>
      </c>
      <c r="Q12" s="13" t="n">
        <v>61</v>
      </c>
      <c r="R12" s="13" t="n">
        <v>38</v>
      </c>
      <c r="S12" s="13" t="n">
        <v>48</v>
      </c>
      <c r="T12" s="13" t="n">
        <v>77</v>
      </c>
      <c r="U12" s="13" t="n">
        <v>32</v>
      </c>
      <c r="V12" s="13" t="n">
        <v>49</v>
      </c>
      <c r="W12" s="13" t="n">
        <v>53</v>
      </c>
      <c r="X12" s="13" t="n">
        <v>83</v>
      </c>
      <c r="Y12" s="13" t="n">
        <v>62</v>
      </c>
      <c r="Z12" s="13" t="n">
        <v>53</v>
      </c>
      <c r="AA12" s="13" t="n">
        <v>65</v>
      </c>
      <c r="AB12" s="13" t="n">
        <v>67</v>
      </c>
      <c r="AC12" s="13" t="n">
        <v>54</v>
      </c>
      <c r="AD12" s="13" t="n">
        <v>47</v>
      </c>
      <c r="AE12" s="13" t="n">
        <v>95</v>
      </c>
    </row>
    <row r="13">
      <c r="A13" s="8" t="inlineStr">
        <is>
          <t>00037</t>
        </is>
      </c>
      <c r="B13" s="13" t="n">
        <v>31</v>
      </c>
      <c r="C13" s="13" t="n">
        <v>33</v>
      </c>
      <c r="D13" s="13" t="n">
        <v>44</v>
      </c>
      <c r="E13" s="13" t="n">
        <v>41</v>
      </c>
      <c r="F13" s="13" t="n">
        <v>72</v>
      </c>
      <c r="G13" s="13" t="n">
        <v>99</v>
      </c>
      <c r="H13" s="13" t="n">
        <v>30</v>
      </c>
      <c r="I13" s="13" t="n">
        <v>88</v>
      </c>
      <c r="J13" s="13" t="n">
        <v>31</v>
      </c>
      <c r="K13" s="12" t="n">
        <v>0</v>
      </c>
      <c r="L13" s="13" t="n">
        <v>83</v>
      </c>
      <c r="M13" s="13" t="n">
        <v>64</v>
      </c>
      <c r="N13" s="13" t="n">
        <v>90</v>
      </c>
      <c r="O13" s="13" t="n">
        <v>70</v>
      </c>
      <c r="P13" s="13" t="n">
        <v>62</v>
      </c>
      <c r="Q13" s="13" t="n">
        <v>97</v>
      </c>
      <c r="R13" s="13" t="n">
        <v>62</v>
      </c>
      <c r="S13" s="13" t="n">
        <v>43</v>
      </c>
      <c r="T13" s="13" t="n">
        <v>50</v>
      </c>
      <c r="U13" s="13" t="n">
        <v>77</v>
      </c>
      <c r="V13" s="13" t="n">
        <v>49</v>
      </c>
      <c r="W13" s="13" t="n">
        <v>37</v>
      </c>
      <c r="X13" s="13" t="n">
        <v>36</v>
      </c>
      <c r="Y13" s="13" t="n">
        <v>96</v>
      </c>
      <c r="Z13" s="13" t="n">
        <v>46</v>
      </c>
      <c r="AA13" s="13" t="n">
        <v>62</v>
      </c>
      <c r="AB13" s="13" t="n">
        <v>77</v>
      </c>
      <c r="AC13" s="13" t="n">
        <v>88</v>
      </c>
      <c r="AD13" s="13" t="n">
        <v>51</v>
      </c>
      <c r="AE13" s="13" t="n">
        <v>59</v>
      </c>
    </row>
    <row r="14">
      <c r="A14" s="8" t="inlineStr">
        <is>
          <t>00038</t>
        </is>
      </c>
      <c r="B14" s="13" t="n">
        <v>59</v>
      </c>
      <c r="C14" s="13" t="n">
        <v>89</v>
      </c>
      <c r="D14" s="13" t="n">
        <v>91</v>
      </c>
      <c r="E14" s="13" t="n">
        <v>63</v>
      </c>
      <c r="F14" s="13" t="n">
        <v>58</v>
      </c>
      <c r="G14" s="13" t="n">
        <v>56</v>
      </c>
      <c r="H14" s="13" t="n">
        <v>48</v>
      </c>
      <c r="I14" s="13" t="n">
        <v>65</v>
      </c>
      <c r="J14" s="13" t="n">
        <v>30</v>
      </c>
      <c r="K14" s="13" t="n">
        <v>83</v>
      </c>
      <c r="L14" s="12" t="n">
        <v>0</v>
      </c>
      <c r="M14" s="13" t="n">
        <v>67</v>
      </c>
      <c r="N14" s="13" t="n">
        <v>80</v>
      </c>
      <c r="O14" s="13" t="n">
        <v>83</v>
      </c>
      <c r="P14" s="13" t="n">
        <v>37</v>
      </c>
      <c r="Q14" s="13" t="n">
        <v>56</v>
      </c>
      <c r="R14" s="13" t="n">
        <v>56</v>
      </c>
      <c r="S14" s="13" t="n">
        <v>50</v>
      </c>
      <c r="T14" s="13" t="n">
        <v>59</v>
      </c>
      <c r="U14" s="13" t="n">
        <v>57</v>
      </c>
      <c r="V14" s="13" t="n">
        <v>93</v>
      </c>
      <c r="W14" s="13" t="n">
        <v>98</v>
      </c>
      <c r="X14" s="13" t="n">
        <v>90</v>
      </c>
      <c r="Y14" s="13" t="n">
        <v>77</v>
      </c>
      <c r="Z14" s="13" t="n">
        <v>48</v>
      </c>
      <c r="AA14" s="13" t="n">
        <v>33</v>
      </c>
      <c r="AB14" s="13" t="n">
        <v>64</v>
      </c>
      <c r="AC14" s="13" t="n">
        <v>93</v>
      </c>
      <c r="AD14" s="13" t="n">
        <v>78</v>
      </c>
      <c r="AE14" s="13" t="n">
        <v>46</v>
      </c>
    </row>
    <row r="15">
      <c r="A15" s="8" t="inlineStr">
        <is>
          <t>00039</t>
        </is>
      </c>
      <c r="B15" s="13" t="n">
        <v>67</v>
      </c>
      <c r="C15" s="13" t="n">
        <v>43</v>
      </c>
      <c r="D15" s="13" t="n">
        <v>69</v>
      </c>
      <c r="E15" s="13" t="n">
        <v>62</v>
      </c>
      <c r="F15" s="13" t="n">
        <v>65</v>
      </c>
      <c r="G15" s="13" t="n">
        <v>38</v>
      </c>
      <c r="H15" s="13" t="n">
        <v>31</v>
      </c>
      <c r="I15" s="13" t="n">
        <v>48</v>
      </c>
      <c r="J15" s="13" t="n">
        <v>77</v>
      </c>
      <c r="K15" s="13" t="n">
        <v>64</v>
      </c>
      <c r="L15" s="13" t="n">
        <v>67</v>
      </c>
      <c r="M15" s="12" t="n">
        <v>0</v>
      </c>
      <c r="N15" s="13" t="n">
        <v>73</v>
      </c>
      <c r="O15" s="13" t="n">
        <v>59</v>
      </c>
      <c r="P15" s="13" t="n">
        <v>75</v>
      </c>
      <c r="Q15" s="13" t="n">
        <v>35</v>
      </c>
      <c r="R15" s="13" t="n">
        <v>66</v>
      </c>
      <c r="S15" s="13" t="n">
        <v>53</v>
      </c>
      <c r="T15" s="13" t="n">
        <v>75</v>
      </c>
      <c r="U15" s="13" t="n">
        <v>82</v>
      </c>
      <c r="V15" s="13" t="n">
        <v>89</v>
      </c>
      <c r="W15" s="13" t="n">
        <v>92</v>
      </c>
      <c r="X15" s="13" t="n">
        <v>61</v>
      </c>
      <c r="Y15" s="13" t="n">
        <v>62</v>
      </c>
      <c r="Z15" s="13" t="n">
        <v>96</v>
      </c>
      <c r="AA15" s="13" t="n">
        <v>47</v>
      </c>
      <c r="AB15" s="13" t="n">
        <v>54</v>
      </c>
      <c r="AC15" s="13" t="n">
        <v>83</v>
      </c>
      <c r="AD15" s="13" t="n">
        <v>87</v>
      </c>
      <c r="AE15" s="13" t="n">
        <v>96</v>
      </c>
    </row>
    <row r="16">
      <c r="A16" s="8" t="inlineStr">
        <is>
          <t>00040</t>
        </is>
      </c>
      <c r="B16" s="13" t="n">
        <v>31</v>
      </c>
      <c r="C16" s="13" t="n">
        <v>38</v>
      </c>
      <c r="D16" s="13" t="n">
        <v>82</v>
      </c>
      <c r="E16" s="13" t="n">
        <v>77</v>
      </c>
      <c r="F16" s="13" t="n">
        <v>42</v>
      </c>
      <c r="G16" s="13" t="n">
        <v>91</v>
      </c>
      <c r="H16" s="13" t="n">
        <v>82</v>
      </c>
      <c r="I16" s="13" t="n">
        <v>96</v>
      </c>
      <c r="J16" s="13" t="n">
        <v>41</v>
      </c>
      <c r="K16" s="13" t="n">
        <v>90</v>
      </c>
      <c r="L16" s="13" t="n">
        <v>80</v>
      </c>
      <c r="M16" s="13" t="n">
        <v>73</v>
      </c>
      <c r="N16" s="12" t="n">
        <v>0</v>
      </c>
      <c r="O16" s="13" t="n">
        <v>75</v>
      </c>
      <c r="P16" s="13" t="n">
        <v>53</v>
      </c>
      <c r="Q16" s="13" t="n">
        <v>61</v>
      </c>
      <c r="R16" s="13" t="n">
        <v>76</v>
      </c>
      <c r="S16" s="13" t="n">
        <v>52</v>
      </c>
      <c r="T16" s="13" t="n">
        <v>95</v>
      </c>
      <c r="U16" s="13" t="n">
        <v>56</v>
      </c>
      <c r="V16" s="13" t="n">
        <v>31</v>
      </c>
      <c r="W16" s="13" t="n">
        <v>46</v>
      </c>
      <c r="X16" s="13" t="n">
        <v>62</v>
      </c>
      <c r="Y16" s="13" t="n">
        <v>38</v>
      </c>
      <c r="Z16" s="13" t="n">
        <v>72</v>
      </c>
      <c r="AA16" s="13" t="n">
        <v>77</v>
      </c>
      <c r="AB16" s="13" t="n">
        <v>68</v>
      </c>
      <c r="AC16" s="13" t="n">
        <v>71</v>
      </c>
      <c r="AD16" s="13" t="n">
        <v>55</v>
      </c>
      <c r="AE16" s="13" t="n">
        <v>79</v>
      </c>
    </row>
    <row r="17">
      <c r="A17" s="8" t="inlineStr">
        <is>
          <t>00042</t>
        </is>
      </c>
      <c r="B17" s="13" t="n">
        <v>93</v>
      </c>
      <c r="C17" s="13" t="n">
        <v>82</v>
      </c>
      <c r="D17" s="13" t="n">
        <v>53</v>
      </c>
      <c r="E17" s="13" t="n">
        <v>52</v>
      </c>
      <c r="F17" s="13" t="n">
        <v>61</v>
      </c>
      <c r="G17" s="13" t="n">
        <v>66</v>
      </c>
      <c r="H17" s="13" t="n">
        <v>73</v>
      </c>
      <c r="I17" s="13" t="n">
        <v>48</v>
      </c>
      <c r="J17" s="13" t="n">
        <v>98</v>
      </c>
      <c r="K17" s="13" t="n">
        <v>70</v>
      </c>
      <c r="L17" s="13" t="n">
        <v>83</v>
      </c>
      <c r="M17" s="13" t="n">
        <v>59</v>
      </c>
      <c r="N17" s="13" t="n">
        <v>75</v>
      </c>
      <c r="O17" s="12" t="n">
        <v>0</v>
      </c>
      <c r="P17" s="13" t="n">
        <v>54</v>
      </c>
      <c r="Q17" s="13" t="n">
        <v>53</v>
      </c>
      <c r="R17" s="13" t="n">
        <v>42</v>
      </c>
      <c r="S17" s="13" t="n">
        <v>89</v>
      </c>
      <c r="T17" s="13" t="n">
        <v>36</v>
      </c>
      <c r="U17" s="13" t="n">
        <v>86</v>
      </c>
      <c r="V17" s="13" t="n">
        <v>65</v>
      </c>
      <c r="W17" s="13" t="n">
        <v>74</v>
      </c>
      <c r="X17" s="13" t="n">
        <v>49</v>
      </c>
      <c r="Y17" s="13" t="n">
        <v>94</v>
      </c>
      <c r="Z17" s="13" t="n">
        <v>37</v>
      </c>
      <c r="AA17" s="13" t="n">
        <v>45</v>
      </c>
      <c r="AB17" s="13" t="n">
        <v>43</v>
      </c>
      <c r="AC17" s="13" t="n">
        <v>44</v>
      </c>
      <c r="AD17" s="13" t="n">
        <v>95</v>
      </c>
      <c r="AE17" s="13" t="n">
        <v>61</v>
      </c>
    </row>
    <row r="18">
      <c r="A18" s="8" t="inlineStr">
        <is>
          <t>00043</t>
        </is>
      </c>
      <c r="B18" s="13" t="n">
        <v>89</v>
      </c>
      <c r="C18" s="13" t="n">
        <v>31</v>
      </c>
      <c r="D18" s="13" t="n">
        <v>55</v>
      </c>
      <c r="E18" s="13" t="n">
        <v>91</v>
      </c>
      <c r="F18" s="13" t="n">
        <v>100</v>
      </c>
      <c r="G18" s="13" t="n">
        <v>80</v>
      </c>
      <c r="H18" s="13" t="n">
        <v>61</v>
      </c>
      <c r="I18" s="13" t="n">
        <v>49</v>
      </c>
      <c r="J18" s="13" t="n">
        <v>66</v>
      </c>
      <c r="K18" s="13" t="n">
        <v>62</v>
      </c>
      <c r="L18" s="13" t="n">
        <v>37</v>
      </c>
      <c r="M18" s="13" t="n">
        <v>75</v>
      </c>
      <c r="N18" s="13" t="n">
        <v>53</v>
      </c>
      <c r="O18" s="13" t="n">
        <v>54</v>
      </c>
      <c r="P18" s="12" t="n">
        <v>0</v>
      </c>
      <c r="Q18" s="13" t="n">
        <v>92</v>
      </c>
      <c r="R18" s="13" t="n">
        <v>80</v>
      </c>
      <c r="S18" s="13" t="n">
        <v>54</v>
      </c>
      <c r="T18" s="13" t="n">
        <v>87</v>
      </c>
      <c r="U18" s="13" t="n">
        <v>92</v>
      </c>
      <c r="V18" s="13" t="n">
        <v>91</v>
      </c>
      <c r="W18" s="13" t="n">
        <v>51</v>
      </c>
      <c r="X18" s="13" t="n">
        <v>87</v>
      </c>
      <c r="Y18" s="13" t="n">
        <v>87</v>
      </c>
      <c r="Z18" s="13" t="n">
        <v>78</v>
      </c>
      <c r="AA18" s="13" t="n">
        <v>81</v>
      </c>
      <c r="AB18" s="13" t="n">
        <v>71</v>
      </c>
      <c r="AC18" s="13" t="n">
        <v>99</v>
      </c>
      <c r="AD18" s="13" t="n">
        <v>44</v>
      </c>
      <c r="AE18" s="13" t="n">
        <v>83</v>
      </c>
    </row>
    <row r="19">
      <c r="A19" s="8" t="inlineStr">
        <is>
          <t>00045</t>
        </is>
      </c>
      <c r="B19" s="13" t="n">
        <v>50</v>
      </c>
      <c r="C19" s="13" t="n">
        <v>89</v>
      </c>
      <c r="D19" s="13" t="n">
        <v>89</v>
      </c>
      <c r="E19" s="13" t="n">
        <v>66</v>
      </c>
      <c r="F19" s="13" t="n">
        <v>88</v>
      </c>
      <c r="G19" s="13" t="n">
        <v>73</v>
      </c>
      <c r="H19" s="13" t="n">
        <v>99</v>
      </c>
      <c r="I19" s="13" t="n">
        <v>100</v>
      </c>
      <c r="J19" s="13" t="n">
        <v>61</v>
      </c>
      <c r="K19" s="13" t="n">
        <v>97</v>
      </c>
      <c r="L19" s="13" t="n">
        <v>56</v>
      </c>
      <c r="M19" s="13" t="n">
        <v>35</v>
      </c>
      <c r="N19" s="13" t="n">
        <v>61</v>
      </c>
      <c r="O19" s="13" t="n">
        <v>53</v>
      </c>
      <c r="P19" s="13" t="n">
        <v>92</v>
      </c>
      <c r="Q19" s="12" t="n">
        <v>0</v>
      </c>
      <c r="R19" s="13" t="n">
        <v>89</v>
      </c>
      <c r="S19" s="13" t="n">
        <v>37</v>
      </c>
      <c r="T19" s="13" t="n">
        <v>82</v>
      </c>
      <c r="U19" s="13" t="n">
        <v>89</v>
      </c>
      <c r="V19" s="13" t="n">
        <v>34</v>
      </c>
      <c r="W19" s="13" t="n">
        <v>97</v>
      </c>
      <c r="X19" s="13" t="n">
        <v>35</v>
      </c>
      <c r="Y19" s="13" t="n">
        <v>76</v>
      </c>
      <c r="Z19" s="13" t="n">
        <v>84</v>
      </c>
      <c r="AA19" s="13" t="n">
        <v>69</v>
      </c>
      <c r="AB19" s="13" t="n">
        <v>81</v>
      </c>
      <c r="AC19" s="13" t="n">
        <v>45</v>
      </c>
      <c r="AD19" s="13" t="n">
        <v>42</v>
      </c>
      <c r="AE19" s="13" t="n">
        <v>59</v>
      </c>
    </row>
    <row r="20">
      <c r="A20" s="8" t="inlineStr">
        <is>
          <t>00046</t>
        </is>
      </c>
      <c r="B20" s="13" t="n">
        <v>62</v>
      </c>
      <c r="C20" s="13" t="n">
        <v>100</v>
      </c>
      <c r="D20" s="13" t="n">
        <v>70</v>
      </c>
      <c r="E20" s="13" t="n">
        <v>73</v>
      </c>
      <c r="F20" s="13" t="n">
        <v>57</v>
      </c>
      <c r="G20" s="13" t="n">
        <v>53</v>
      </c>
      <c r="H20" s="13" t="n">
        <v>61</v>
      </c>
      <c r="I20" s="13" t="n">
        <v>81</v>
      </c>
      <c r="J20" s="13" t="n">
        <v>38</v>
      </c>
      <c r="K20" s="13" t="n">
        <v>62</v>
      </c>
      <c r="L20" s="13" t="n">
        <v>56</v>
      </c>
      <c r="M20" s="13" t="n">
        <v>66</v>
      </c>
      <c r="N20" s="13" t="n">
        <v>76</v>
      </c>
      <c r="O20" s="13" t="n">
        <v>42</v>
      </c>
      <c r="P20" s="13" t="n">
        <v>80</v>
      </c>
      <c r="Q20" s="13" t="n">
        <v>89</v>
      </c>
      <c r="R20" s="12" t="n">
        <v>0</v>
      </c>
      <c r="S20" s="13" t="n">
        <v>48</v>
      </c>
      <c r="T20" s="13" t="n">
        <v>46</v>
      </c>
      <c r="U20" s="13" t="n">
        <v>92</v>
      </c>
      <c r="V20" s="13" t="n">
        <v>48</v>
      </c>
      <c r="W20" s="13" t="n">
        <v>87</v>
      </c>
      <c r="X20" s="13" t="n">
        <v>84</v>
      </c>
      <c r="Y20" s="13" t="n">
        <v>91</v>
      </c>
      <c r="Z20" s="13" t="n">
        <v>52</v>
      </c>
      <c r="AA20" s="13" t="n">
        <v>38</v>
      </c>
      <c r="AB20" s="13" t="n">
        <v>41</v>
      </c>
      <c r="AC20" s="13" t="n">
        <v>30</v>
      </c>
      <c r="AD20" s="13" t="n">
        <v>87</v>
      </c>
      <c r="AE20" s="13" t="n">
        <v>30</v>
      </c>
    </row>
    <row r="21">
      <c r="A21" s="8" t="inlineStr">
        <is>
          <t>00055</t>
        </is>
      </c>
      <c r="B21" s="13" t="n">
        <v>87</v>
      </c>
      <c r="C21" s="13" t="n">
        <v>73</v>
      </c>
      <c r="D21" s="13" t="n">
        <v>58</v>
      </c>
      <c r="E21" s="13" t="n">
        <v>64</v>
      </c>
      <c r="F21" s="13" t="n">
        <v>95</v>
      </c>
      <c r="G21" s="13" t="n">
        <v>88</v>
      </c>
      <c r="H21" s="13" t="n">
        <v>97</v>
      </c>
      <c r="I21" s="13" t="n">
        <v>62</v>
      </c>
      <c r="J21" s="13" t="n">
        <v>48</v>
      </c>
      <c r="K21" s="13" t="n">
        <v>43</v>
      </c>
      <c r="L21" s="13" t="n">
        <v>50</v>
      </c>
      <c r="M21" s="13" t="n">
        <v>53</v>
      </c>
      <c r="N21" s="13" t="n">
        <v>52</v>
      </c>
      <c r="O21" s="13" t="n">
        <v>89</v>
      </c>
      <c r="P21" s="13" t="n">
        <v>54</v>
      </c>
      <c r="Q21" s="13" t="n">
        <v>37</v>
      </c>
      <c r="R21" s="13" t="n">
        <v>48</v>
      </c>
      <c r="S21" s="12" t="n">
        <v>0</v>
      </c>
      <c r="T21" s="13" t="n">
        <v>63</v>
      </c>
      <c r="U21" s="13" t="n">
        <v>77</v>
      </c>
      <c r="V21" s="13" t="n">
        <v>30</v>
      </c>
      <c r="W21" s="13" t="n">
        <v>45</v>
      </c>
      <c r="X21" s="13" t="n">
        <v>90</v>
      </c>
      <c r="Y21" s="13" t="n">
        <v>93</v>
      </c>
      <c r="Z21" s="13" t="n">
        <v>92</v>
      </c>
      <c r="AA21" s="13" t="n">
        <v>98</v>
      </c>
      <c r="AB21" s="13" t="n">
        <v>51</v>
      </c>
      <c r="AC21" s="13" t="n">
        <v>96</v>
      </c>
      <c r="AD21" s="13" t="n">
        <v>55</v>
      </c>
      <c r="AE21" s="13" t="n">
        <v>45</v>
      </c>
    </row>
    <row r="22">
      <c r="A22" s="8" t="inlineStr">
        <is>
          <t>00056</t>
        </is>
      </c>
      <c r="B22" s="13" t="n">
        <v>51</v>
      </c>
      <c r="C22" s="13" t="n">
        <v>37</v>
      </c>
      <c r="D22" s="13" t="n">
        <v>44</v>
      </c>
      <c r="E22" s="13" t="n">
        <v>94</v>
      </c>
      <c r="F22" s="13" t="n">
        <v>71</v>
      </c>
      <c r="G22" s="13" t="n">
        <v>61</v>
      </c>
      <c r="H22" s="13" t="n">
        <v>84</v>
      </c>
      <c r="I22" s="13" t="n">
        <v>69</v>
      </c>
      <c r="J22" s="13" t="n">
        <v>77</v>
      </c>
      <c r="K22" s="13" t="n">
        <v>50</v>
      </c>
      <c r="L22" s="13" t="n">
        <v>59</v>
      </c>
      <c r="M22" s="13" t="n">
        <v>75</v>
      </c>
      <c r="N22" s="13" t="n">
        <v>95</v>
      </c>
      <c r="O22" s="13" t="n">
        <v>36</v>
      </c>
      <c r="P22" s="13" t="n">
        <v>87</v>
      </c>
      <c r="Q22" s="13" t="n">
        <v>82</v>
      </c>
      <c r="R22" s="13" t="n">
        <v>46</v>
      </c>
      <c r="S22" s="13" t="n">
        <v>63</v>
      </c>
      <c r="T22" s="12" t="n">
        <v>0</v>
      </c>
      <c r="U22" s="13" t="n">
        <v>80</v>
      </c>
      <c r="V22" s="13" t="n">
        <v>86</v>
      </c>
      <c r="W22" s="13" t="n">
        <v>58</v>
      </c>
      <c r="X22" s="13" t="n">
        <v>98</v>
      </c>
      <c r="Y22" s="13" t="n">
        <v>76</v>
      </c>
      <c r="Z22" s="13" t="n">
        <v>91</v>
      </c>
      <c r="AA22" s="13" t="n">
        <v>98</v>
      </c>
      <c r="AB22" s="13" t="n">
        <v>45</v>
      </c>
      <c r="AC22" s="13" t="n">
        <v>77</v>
      </c>
      <c r="AD22" s="13" t="n">
        <v>68</v>
      </c>
      <c r="AE22" s="13" t="n">
        <v>62</v>
      </c>
    </row>
    <row r="23">
      <c r="A23" s="8" t="inlineStr">
        <is>
          <t>00057</t>
        </is>
      </c>
      <c r="B23" s="13" t="n">
        <v>78</v>
      </c>
      <c r="C23" s="13" t="n">
        <v>76</v>
      </c>
      <c r="D23" s="13" t="n">
        <v>74</v>
      </c>
      <c r="E23" s="13" t="n">
        <v>76</v>
      </c>
      <c r="F23" s="13" t="n">
        <v>74</v>
      </c>
      <c r="G23" s="13" t="n">
        <v>81</v>
      </c>
      <c r="H23" s="13" t="n">
        <v>85</v>
      </c>
      <c r="I23" s="13" t="n">
        <v>68</v>
      </c>
      <c r="J23" s="13" t="n">
        <v>32</v>
      </c>
      <c r="K23" s="13" t="n">
        <v>77</v>
      </c>
      <c r="L23" s="13" t="n">
        <v>57</v>
      </c>
      <c r="M23" s="13" t="n">
        <v>82</v>
      </c>
      <c r="N23" s="13" t="n">
        <v>56</v>
      </c>
      <c r="O23" s="13" t="n">
        <v>86</v>
      </c>
      <c r="P23" s="13" t="n">
        <v>92</v>
      </c>
      <c r="Q23" s="13" t="n">
        <v>89</v>
      </c>
      <c r="R23" s="13" t="n">
        <v>92</v>
      </c>
      <c r="S23" s="13" t="n">
        <v>77</v>
      </c>
      <c r="T23" s="13" t="n">
        <v>80</v>
      </c>
      <c r="U23" s="12" t="n">
        <v>0</v>
      </c>
      <c r="V23" s="13" t="n">
        <v>52</v>
      </c>
      <c r="W23" s="13" t="n">
        <v>39</v>
      </c>
      <c r="X23" s="13" t="n">
        <v>98</v>
      </c>
      <c r="Y23" s="13" t="n">
        <v>63</v>
      </c>
      <c r="Z23" s="13" t="n">
        <v>81</v>
      </c>
      <c r="AA23" s="13" t="n">
        <v>39</v>
      </c>
      <c r="AB23" s="13" t="n">
        <v>48</v>
      </c>
      <c r="AC23" s="13" t="n">
        <v>87</v>
      </c>
      <c r="AD23" s="13" t="n">
        <v>30</v>
      </c>
      <c r="AE23" s="13" t="n">
        <v>98</v>
      </c>
    </row>
    <row r="24">
      <c r="A24" s="8" t="inlineStr">
        <is>
          <t>00062</t>
        </is>
      </c>
      <c r="B24" s="13" t="n">
        <v>88</v>
      </c>
      <c r="C24" s="13" t="n">
        <v>64</v>
      </c>
      <c r="D24" s="13" t="n">
        <v>94</v>
      </c>
      <c r="E24" s="13" t="n">
        <v>32</v>
      </c>
      <c r="F24" s="13" t="n">
        <v>91</v>
      </c>
      <c r="G24" s="13" t="n">
        <v>91</v>
      </c>
      <c r="H24" s="13" t="n">
        <v>46</v>
      </c>
      <c r="I24" s="13" t="n">
        <v>30</v>
      </c>
      <c r="J24" s="13" t="n">
        <v>49</v>
      </c>
      <c r="K24" s="13" t="n">
        <v>49</v>
      </c>
      <c r="L24" s="13" t="n">
        <v>93</v>
      </c>
      <c r="M24" s="13" t="n">
        <v>89</v>
      </c>
      <c r="N24" s="13" t="n">
        <v>31</v>
      </c>
      <c r="O24" s="13" t="n">
        <v>65</v>
      </c>
      <c r="P24" s="13" t="n">
        <v>91</v>
      </c>
      <c r="Q24" s="13" t="n">
        <v>34</v>
      </c>
      <c r="R24" s="13" t="n">
        <v>48</v>
      </c>
      <c r="S24" s="13" t="n">
        <v>30</v>
      </c>
      <c r="T24" s="13" t="n">
        <v>86</v>
      </c>
      <c r="U24" s="13" t="n">
        <v>52</v>
      </c>
      <c r="V24" s="12" t="n">
        <v>0</v>
      </c>
      <c r="W24" s="13" t="n">
        <v>33</v>
      </c>
      <c r="X24" s="13" t="n">
        <v>45</v>
      </c>
      <c r="Y24" s="13" t="n">
        <v>53</v>
      </c>
      <c r="Z24" s="13" t="n">
        <v>31</v>
      </c>
      <c r="AA24" s="13" t="n">
        <v>61</v>
      </c>
      <c r="AB24" s="13" t="n">
        <v>53</v>
      </c>
      <c r="AC24" s="13" t="n">
        <v>41</v>
      </c>
      <c r="AD24" s="13" t="n">
        <v>79</v>
      </c>
      <c r="AE24" s="13" t="n">
        <v>64</v>
      </c>
    </row>
    <row r="25">
      <c r="A25" s="8" t="inlineStr">
        <is>
          <t>00063</t>
        </is>
      </c>
      <c r="B25" s="13" t="n">
        <v>71</v>
      </c>
      <c r="C25" s="13" t="n">
        <v>65</v>
      </c>
      <c r="D25" s="13" t="n">
        <v>100</v>
      </c>
      <c r="E25" s="13" t="n">
        <v>30</v>
      </c>
      <c r="F25" s="13" t="n">
        <v>86</v>
      </c>
      <c r="G25" s="13" t="n">
        <v>87</v>
      </c>
      <c r="H25" s="13" t="n">
        <v>67</v>
      </c>
      <c r="I25" s="13" t="n">
        <v>40</v>
      </c>
      <c r="J25" s="13" t="n">
        <v>53</v>
      </c>
      <c r="K25" s="13" t="n">
        <v>37</v>
      </c>
      <c r="L25" s="13" t="n">
        <v>98</v>
      </c>
      <c r="M25" s="13" t="n">
        <v>92</v>
      </c>
      <c r="N25" s="13" t="n">
        <v>46</v>
      </c>
      <c r="O25" s="13" t="n">
        <v>74</v>
      </c>
      <c r="P25" s="13" t="n">
        <v>51</v>
      </c>
      <c r="Q25" s="13" t="n">
        <v>97</v>
      </c>
      <c r="R25" s="13" t="n">
        <v>87</v>
      </c>
      <c r="S25" s="13" t="n">
        <v>45</v>
      </c>
      <c r="T25" s="13" t="n">
        <v>58</v>
      </c>
      <c r="U25" s="13" t="n">
        <v>39</v>
      </c>
      <c r="V25" s="13" t="n">
        <v>33</v>
      </c>
      <c r="W25" s="12" t="n">
        <v>0</v>
      </c>
      <c r="X25" s="13" t="n">
        <v>62</v>
      </c>
      <c r="Y25" s="13" t="n">
        <v>62</v>
      </c>
      <c r="Z25" s="13" t="n">
        <v>90</v>
      </c>
      <c r="AA25" s="13" t="n">
        <v>80</v>
      </c>
      <c r="AB25" s="13" t="n">
        <v>72</v>
      </c>
      <c r="AC25" s="13" t="n">
        <v>41</v>
      </c>
      <c r="AD25" s="13" t="n">
        <v>96</v>
      </c>
      <c r="AE25" s="13" t="n">
        <v>94</v>
      </c>
    </row>
    <row r="26">
      <c r="A26" s="8" t="inlineStr">
        <is>
          <t>00064</t>
        </is>
      </c>
      <c r="B26" s="13" t="n">
        <v>89</v>
      </c>
      <c r="C26" s="13" t="n">
        <v>79</v>
      </c>
      <c r="D26" s="13" t="n">
        <v>38</v>
      </c>
      <c r="E26" s="13" t="n">
        <v>34</v>
      </c>
      <c r="F26" s="13" t="n">
        <v>35</v>
      </c>
      <c r="G26" s="13" t="n">
        <v>81</v>
      </c>
      <c r="H26" s="13" t="n">
        <v>53</v>
      </c>
      <c r="I26" s="13" t="n">
        <v>86</v>
      </c>
      <c r="J26" s="13" t="n">
        <v>83</v>
      </c>
      <c r="K26" s="13" t="n">
        <v>36</v>
      </c>
      <c r="L26" s="13" t="n">
        <v>90</v>
      </c>
      <c r="M26" s="13" t="n">
        <v>61</v>
      </c>
      <c r="N26" s="13" t="n">
        <v>62</v>
      </c>
      <c r="O26" s="13" t="n">
        <v>49</v>
      </c>
      <c r="P26" s="13" t="n">
        <v>87</v>
      </c>
      <c r="Q26" s="13" t="n">
        <v>35</v>
      </c>
      <c r="R26" s="13" t="n">
        <v>84</v>
      </c>
      <c r="S26" s="13" t="n">
        <v>90</v>
      </c>
      <c r="T26" s="13" t="n">
        <v>98</v>
      </c>
      <c r="U26" s="13" t="n">
        <v>98</v>
      </c>
      <c r="V26" s="13" t="n">
        <v>45</v>
      </c>
      <c r="W26" s="13" t="n">
        <v>62</v>
      </c>
      <c r="X26" s="12" t="n">
        <v>0</v>
      </c>
      <c r="Y26" s="13" t="n">
        <v>62</v>
      </c>
      <c r="Z26" s="13" t="n">
        <v>69</v>
      </c>
      <c r="AA26" s="13" t="n">
        <v>72</v>
      </c>
      <c r="AB26" s="13" t="n">
        <v>73</v>
      </c>
      <c r="AC26" s="13" t="n">
        <v>58</v>
      </c>
      <c r="AD26" s="13" t="n">
        <v>42</v>
      </c>
      <c r="AE26" s="13" t="n">
        <v>41</v>
      </c>
    </row>
    <row r="27">
      <c r="A27" s="8" t="inlineStr">
        <is>
          <t>00073</t>
        </is>
      </c>
      <c r="B27" s="13" t="n">
        <v>44</v>
      </c>
      <c r="C27" s="13" t="n">
        <v>33</v>
      </c>
      <c r="D27" s="13" t="n">
        <v>30</v>
      </c>
      <c r="E27" s="13" t="n">
        <v>43</v>
      </c>
      <c r="F27" s="13" t="n">
        <v>57</v>
      </c>
      <c r="G27" s="13" t="n">
        <v>41</v>
      </c>
      <c r="H27" s="13" t="n">
        <v>98</v>
      </c>
      <c r="I27" s="13" t="n">
        <v>79</v>
      </c>
      <c r="J27" s="13" t="n">
        <v>62</v>
      </c>
      <c r="K27" s="13" t="n">
        <v>96</v>
      </c>
      <c r="L27" s="13" t="n">
        <v>77</v>
      </c>
      <c r="M27" s="13" t="n">
        <v>62</v>
      </c>
      <c r="N27" s="13" t="n">
        <v>38</v>
      </c>
      <c r="O27" s="13" t="n">
        <v>94</v>
      </c>
      <c r="P27" s="13" t="n">
        <v>87</v>
      </c>
      <c r="Q27" s="13" t="n">
        <v>76</v>
      </c>
      <c r="R27" s="13" t="n">
        <v>91</v>
      </c>
      <c r="S27" s="13" t="n">
        <v>93</v>
      </c>
      <c r="T27" s="13" t="n">
        <v>76</v>
      </c>
      <c r="U27" s="13" t="n">
        <v>63</v>
      </c>
      <c r="V27" s="13" t="n">
        <v>53</v>
      </c>
      <c r="W27" s="13" t="n">
        <v>62</v>
      </c>
      <c r="X27" s="13" t="n">
        <v>62</v>
      </c>
      <c r="Y27" s="12" t="n">
        <v>0</v>
      </c>
      <c r="Z27" s="13" t="n">
        <v>75</v>
      </c>
      <c r="AA27" s="13" t="n">
        <v>31</v>
      </c>
      <c r="AB27" s="13" t="n">
        <v>64</v>
      </c>
      <c r="AC27" s="13" t="n">
        <v>37</v>
      </c>
      <c r="AD27" s="13" t="n">
        <v>55</v>
      </c>
      <c r="AE27" s="13" t="n">
        <v>63</v>
      </c>
    </row>
    <row r="28">
      <c r="A28" s="8" t="inlineStr">
        <is>
          <t>00075</t>
        </is>
      </c>
      <c r="B28" s="13" t="n">
        <v>91</v>
      </c>
      <c r="C28" s="13" t="n">
        <v>31</v>
      </c>
      <c r="D28" s="13" t="n">
        <v>37</v>
      </c>
      <c r="E28" s="13" t="n">
        <v>56</v>
      </c>
      <c r="F28" s="13" t="n">
        <v>57</v>
      </c>
      <c r="G28" s="13" t="n">
        <v>68</v>
      </c>
      <c r="H28" s="13" t="n">
        <v>99</v>
      </c>
      <c r="I28" s="13" t="n">
        <v>52</v>
      </c>
      <c r="J28" s="13" t="n">
        <v>53</v>
      </c>
      <c r="K28" s="13" t="n">
        <v>46</v>
      </c>
      <c r="L28" s="13" t="n">
        <v>48</v>
      </c>
      <c r="M28" s="13" t="n">
        <v>96</v>
      </c>
      <c r="N28" s="13" t="n">
        <v>72</v>
      </c>
      <c r="O28" s="13" t="n">
        <v>37</v>
      </c>
      <c r="P28" s="13" t="n">
        <v>78</v>
      </c>
      <c r="Q28" s="13" t="n">
        <v>84</v>
      </c>
      <c r="R28" s="13" t="n">
        <v>52</v>
      </c>
      <c r="S28" s="13" t="n">
        <v>92</v>
      </c>
      <c r="T28" s="13" t="n">
        <v>91</v>
      </c>
      <c r="U28" s="13" t="n">
        <v>81</v>
      </c>
      <c r="V28" s="13" t="n">
        <v>31</v>
      </c>
      <c r="W28" s="13" t="n">
        <v>90</v>
      </c>
      <c r="X28" s="13" t="n">
        <v>69</v>
      </c>
      <c r="Y28" s="13" t="n">
        <v>75</v>
      </c>
      <c r="Z28" s="12" t="n">
        <v>0</v>
      </c>
      <c r="AA28" s="13" t="n">
        <v>36</v>
      </c>
      <c r="AB28" s="13" t="n">
        <v>97</v>
      </c>
      <c r="AC28" s="13" t="n">
        <v>87</v>
      </c>
      <c r="AD28" s="13" t="n">
        <v>58</v>
      </c>
      <c r="AE28" s="13" t="n">
        <v>65</v>
      </c>
    </row>
    <row r="29">
      <c r="A29" s="8" t="inlineStr">
        <is>
          <t>00079</t>
        </is>
      </c>
      <c r="B29" s="13" t="n">
        <v>91</v>
      </c>
      <c r="C29" s="13" t="n">
        <v>35</v>
      </c>
      <c r="D29" s="13" t="n">
        <v>92</v>
      </c>
      <c r="E29" s="13" t="n">
        <v>38</v>
      </c>
      <c r="F29" s="13" t="n">
        <v>73</v>
      </c>
      <c r="G29" s="13" t="n">
        <v>31</v>
      </c>
      <c r="H29" s="13" t="n">
        <v>40</v>
      </c>
      <c r="I29" s="13" t="n">
        <v>60</v>
      </c>
      <c r="J29" s="13" t="n">
        <v>65</v>
      </c>
      <c r="K29" s="13" t="n">
        <v>62</v>
      </c>
      <c r="L29" s="13" t="n">
        <v>33</v>
      </c>
      <c r="M29" s="13" t="n">
        <v>47</v>
      </c>
      <c r="N29" s="13" t="n">
        <v>77</v>
      </c>
      <c r="O29" s="13" t="n">
        <v>45</v>
      </c>
      <c r="P29" s="13" t="n">
        <v>81</v>
      </c>
      <c r="Q29" s="13" t="n">
        <v>69</v>
      </c>
      <c r="R29" s="13" t="n">
        <v>38</v>
      </c>
      <c r="S29" s="13" t="n">
        <v>98</v>
      </c>
      <c r="T29" s="13" t="n">
        <v>98</v>
      </c>
      <c r="U29" s="13" t="n">
        <v>39</v>
      </c>
      <c r="V29" s="13" t="n">
        <v>61</v>
      </c>
      <c r="W29" s="13" t="n">
        <v>80</v>
      </c>
      <c r="X29" s="13" t="n">
        <v>72</v>
      </c>
      <c r="Y29" s="13" t="n">
        <v>31</v>
      </c>
      <c r="Z29" s="13" t="n">
        <v>36</v>
      </c>
      <c r="AA29" s="12" t="n">
        <v>0</v>
      </c>
      <c r="AB29" s="13" t="n">
        <v>50</v>
      </c>
      <c r="AC29" s="13" t="n">
        <v>65</v>
      </c>
      <c r="AD29" s="13" t="n">
        <v>39</v>
      </c>
      <c r="AE29" s="13" t="n">
        <v>53</v>
      </c>
    </row>
    <row r="30">
      <c r="A30" s="8" t="inlineStr">
        <is>
          <t>00081</t>
        </is>
      </c>
      <c r="B30" s="13" t="n">
        <v>76</v>
      </c>
      <c r="C30" s="13" t="n">
        <v>83</v>
      </c>
      <c r="D30" s="13" t="n">
        <v>40</v>
      </c>
      <c r="E30" s="13" t="n">
        <v>44</v>
      </c>
      <c r="F30" s="13" t="n">
        <v>59</v>
      </c>
      <c r="G30" s="13" t="n">
        <v>32</v>
      </c>
      <c r="H30" s="13" t="n">
        <v>45</v>
      </c>
      <c r="I30" s="13" t="n">
        <v>71</v>
      </c>
      <c r="J30" s="13" t="n">
        <v>67</v>
      </c>
      <c r="K30" s="13" t="n">
        <v>77</v>
      </c>
      <c r="L30" s="13" t="n">
        <v>64</v>
      </c>
      <c r="M30" s="13" t="n">
        <v>54</v>
      </c>
      <c r="N30" s="13" t="n">
        <v>68</v>
      </c>
      <c r="O30" s="13" t="n">
        <v>43</v>
      </c>
      <c r="P30" s="13" t="n">
        <v>71</v>
      </c>
      <c r="Q30" s="13" t="n">
        <v>81</v>
      </c>
      <c r="R30" s="13" t="n">
        <v>41</v>
      </c>
      <c r="S30" s="13" t="n">
        <v>51</v>
      </c>
      <c r="T30" s="13" t="n">
        <v>45</v>
      </c>
      <c r="U30" s="13" t="n">
        <v>48</v>
      </c>
      <c r="V30" s="13" t="n">
        <v>53</v>
      </c>
      <c r="W30" s="13" t="n">
        <v>72</v>
      </c>
      <c r="X30" s="13" t="n">
        <v>73</v>
      </c>
      <c r="Y30" s="13" t="n">
        <v>64</v>
      </c>
      <c r="Z30" s="13" t="n">
        <v>97</v>
      </c>
      <c r="AA30" s="13" t="n">
        <v>50</v>
      </c>
      <c r="AB30" s="12" t="n">
        <v>0</v>
      </c>
      <c r="AC30" s="13" t="n">
        <v>93</v>
      </c>
      <c r="AD30" s="13" t="n">
        <v>78</v>
      </c>
      <c r="AE30" s="13" t="n">
        <v>65</v>
      </c>
    </row>
    <row r="31">
      <c r="A31" s="8" t="inlineStr">
        <is>
          <t>00085</t>
        </is>
      </c>
      <c r="B31" s="13" t="n">
        <v>91</v>
      </c>
      <c r="C31" s="13" t="n">
        <v>33</v>
      </c>
      <c r="D31" s="13" t="n">
        <v>37</v>
      </c>
      <c r="E31" s="13" t="n">
        <v>71</v>
      </c>
      <c r="F31" s="13" t="n">
        <v>91</v>
      </c>
      <c r="G31" s="13" t="n">
        <v>85</v>
      </c>
      <c r="H31" s="13" t="n">
        <v>88</v>
      </c>
      <c r="I31" s="13" t="n">
        <v>36</v>
      </c>
      <c r="J31" s="13" t="n">
        <v>54</v>
      </c>
      <c r="K31" s="13" t="n">
        <v>88</v>
      </c>
      <c r="L31" s="13" t="n">
        <v>93</v>
      </c>
      <c r="M31" s="13" t="n">
        <v>83</v>
      </c>
      <c r="N31" s="13" t="n">
        <v>71</v>
      </c>
      <c r="O31" s="13" t="n">
        <v>44</v>
      </c>
      <c r="P31" s="13" t="n">
        <v>99</v>
      </c>
      <c r="Q31" s="13" t="n">
        <v>45</v>
      </c>
      <c r="R31" s="13" t="n">
        <v>30</v>
      </c>
      <c r="S31" s="13" t="n">
        <v>96</v>
      </c>
      <c r="T31" s="13" t="n">
        <v>77</v>
      </c>
      <c r="U31" s="13" t="n">
        <v>87</v>
      </c>
      <c r="V31" s="13" t="n">
        <v>41</v>
      </c>
      <c r="W31" s="13" t="n">
        <v>41</v>
      </c>
      <c r="X31" s="13" t="n">
        <v>58</v>
      </c>
      <c r="Y31" s="13" t="n">
        <v>37</v>
      </c>
      <c r="Z31" s="13" t="n">
        <v>87</v>
      </c>
      <c r="AA31" s="13" t="n">
        <v>65</v>
      </c>
      <c r="AB31" s="13" t="n">
        <v>93</v>
      </c>
      <c r="AC31" s="12" t="n">
        <v>0</v>
      </c>
      <c r="AD31" s="13" t="n">
        <v>53</v>
      </c>
      <c r="AE31" s="13" t="n">
        <v>52</v>
      </c>
    </row>
    <row r="32">
      <c r="A32" s="8" t="inlineStr">
        <is>
          <t>00087</t>
        </is>
      </c>
      <c r="B32" s="13" t="n">
        <v>80</v>
      </c>
      <c r="C32" s="13" t="n">
        <v>83</v>
      </c>
      <c r="D32" s="13" t="n">
        <v>64</v>
      </c>
      <c r="E32" s="13" t="n">
        <v>80</v>
      </c>
      <c r="F32" s="13" t="n">
        <v>91</v>
      </c>
      <c r="G32" s="13" t="n">
        <v>88</v>
      </c>
      <c r="H32" s="13" t="n">
        <v>99</v>
      </c>
      <c r="I32" s="13" t="n">
        <v>45</v>
      </c>
      <c r="J32" s="13" t="n">
        <v>47</v>
      </c>
      <c r="K32" s="13" t="n">
        <v>51</v>
      </c>
      <c r="L32" s="13" t="n">
        <v>78</v>
      </c>
      <c r="M32" s="13" t="n">
        <v>87</v>
      </c>
      <c r="N32" s="13" t="n">
        <v>55</v>
      </c>
      <c r="O32" s="13" t="n">
        <v>95</v>
      </c>
      <c r="P32" s="13" t="n">
        <v>44</v>
      </c>
      <c r="Q32" s="13" t="n">
        <v>42</v>
      </c>
      <c r="R32" s="13" t="n">
        <v>87</v>
      </c>
      <c r="S32" s="13" t="n">
        <v>55</v>
      </c>
      <c r="T32" s="13" t="n">
        <v>68</v>
      </c>
      <c r="U32" s="13" t="n">
        <v>30</v>
      </c>
      <c r="V32" s="13" t="n">
        <v>79</v>
      </c>
      <c r="W32" s="13" t="n">
        <v>96</v>
      </c>
      <c r="X32" s="13" t="n">
        <v>42</v>
      </c>
      <c r="Y32" s="13" t="n">
        <v>55</v>
      </c>
      <c r="Z32" s="13" t="n">
        <v>58</v>
      </c>
      <c r="AA32" s="13" t="n">
        <v>39</v>
      </c>
      <c r="AB32" s="13" t="n">
        <v>78</v>
      </c>
      <c r="AC32" s="13" t="n">
        <v>53</v>
      </c>
      <c r="AD32" s="12" t="n">
        <v>0</v>
      </c>
      <c r="AE32" s="13" t="n">
        <v>91</v>
      </c>
    </row>
    <row r="33">
      <c r="A33" s="8" t="inlineStr">
        <is>
          <t>BEAC</t>
        </is>
      </c>
      <c r="B33" s="13" t="n">
        <v>84</v>
      </c>
      <c r="C33" s="13" t="n">
        <v>92</v>
      </c>
      <c r="D33" s="13" t="n">
        <v>64</v>
      </c>
      <c r="E33" s="13" t="n">
        <v>92</v>
      </c>
      <c r="F33" s="13" t="n">
        <v>30</v>
      </c>
      <c r="G33" s="13" t="n">
        <v>31</v>
      </c>
      <c r="H33" s="13" t="n">
        <v>32</v>
      </c>
      <c r="I33" s="13" t="n">
        <v>89</v>
      </c>
      <c r="J33" s="13" t="n">
        <v>95</v>
      </c>
      <c r="K33" s="13" t="n">
        <v>59</v>
      </c>
      <c r="L33" s="13" t="n">
        <v>46</v>
      </c>
      <c r="M33" s="13" t="n">
        <v>96</v>
      </c>
      <c r="N33" s="13" t="n">
        <v>79</v>
      </c>
      <c r="O33" s="13" t="n">
        <v>61</v>
      </c>
      <c r="P33" s="13" t="n">
        <v>83</v>
      </c>
      <c r="Q33" s="13" t="n">
        <v>59</v>
      </c>
      <c r="R33" s="13" t="n">
        <v>30</v>
      </c>
      <c r="S33" s="13" t="n">
        <v>45</v>
      </c>
      <c r="T33" s="13" t="n">
        <v>62</v>
      </c>
      <c r="U33" s="13" t="n">
        <v>98</v>
      </c>
      <c r="V33" s="13" t="n">
        <v>64</v>
      </c>
      <c r="W33" s="13" t="n">
        <v>94</v>
      </c>
      <c r="X33" s="13" t="n">
        <v>41</v>
      </c>
      <c r="Y33" s="13" t="n">
        <v>63</v>
      </c>
      <c r="Z33" s="13" t="n">
        <v>65</v>
      </c>
      <c r="AA33" s="13" t="n">
        <v>53</v>
      </c>
      <c r="AB33" s="13" t="n">
        <v>65</v>
      </c>
      <c r="AC33" s="13" t="n">
        <v>52</v>
      </c>
      <c r="AD33" s="13" t="n">
        <v>91</v>
      </c>
      <c r="AE33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2025-11-07T17:44:31Z</dcterms:created>
  <dcterms:modified xmlns:dcterms="http://purl.org/dc/terms/" xmlns:xsi="http://www.w3.org/2001/XMLSchema-instance" xsi:type="dcterms:W3CDTF">2025-11-07T17:44:32Z</dcterms:modified>
</cp:coreProperties>
</file>